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46282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46282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46282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46282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46282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46282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46282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46282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46282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46282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46282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46282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46282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46282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46282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46282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46282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46282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46282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46282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46282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46282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46282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46282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46282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46282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46282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27233-2022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44741</v>
      </c>
      <c r="E29" s="1" t="n">
        <v>46282</v>
      </c>
      <c r="F29" t="inlineStr">
        <is>
          <t>SKÅNE LÄN</t>
        </is>
      </c>
      <c r="G29" t="inlineStr">
        <is>
          <t>HÖÖR</t>
        </is>
      </c>
      <c r="I29" t="n">
        <v>5.4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HYPERLINK("https://klasma.github.io/Logging_1267/artfynd/A 27233-2022 artfynd.xlsx", "A 27233-2022")</f>
        <v/>
      </c>
      <c r="X29">
        <f>HYPERLINK("https://klasma.github.io/Logging_1267/kartor/A 27233-2022 karta.png", "A 27233-2022")</f>
        <v/>
      </c>
      <c r="Y29">
        <f>HYPERLINK("https://klasma.github.io/Logging_1267/kartor_geotiff/A 27233-2022 georefererad karta.tif", "A 27233-2022")</f>
        <v/>
      </c>
      <c r="AA29">
        <f>HYPERLINK("https://klasma.github.io/Logging_1267/klagomål/A 27233-2022 FSC-klagomål.docx", "A 27233-2022")</f>
        <v/>
      </c>
      <c r="AB29">
        <f>HYPERLINK("https://klasma.github.io/Logging_1267/klagomålsmail/A 27233-2022 FSC-klagomål mail.docx", "A 27233-2022")</f>
        <v/>
      </c>
      <c r="AC29">
        <f>HYPERLINK("https://klasma.github.io/Logging_1267/tillsyn/A 27233-2022 tillsynsbegäran.docx", "A 27233-2022")</f>
        <v/>
      </c>
      <c r="AD29">
        <f>HYPERLINK("https://klasma.github.io/Logging_1267/tillsynsmail/A 27233-2022 tillsynsbegäran mail.docx", "A 27233-2022")</f>
        <v/>
      </c>
    </row>
    <row r="30" ht="15" customHeight="1">
      <c r="A30" t="inlineStr">
        <is>
          <t>A 42053-2023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46282</v>
      </c>
      <c r="F30" t="inlineStr">
        <is>
          <t>SKÅNE LÄN</t>
        </is>
      </c>
      <c r="G30" t="inlineStr">
        <is>
          <t>HÖÖR</t>
        </is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Småvänderot</t>
        </is>
      </c>
      <c r="W30">
        <f>HYPERLINK("https://klasma.github.io/Logging_1267/artfynd/A 42053-2023 artfynd.xlsx", "A 42053-2023")</f>
        <v/>
      </c>
      <c r="X30">
        <f>HYPERLINK("https://klasma.github.io/Logging_1267/kartor/A 42053-2023 karta.png", "A 42053-2023")</f>
        <v/>
      </c>
      <c r="Y30">
        <f>HYPERLINK("https://klasma.github.io/Logging_1267/kartor_geotiff/A 42053-2023 georefererad karta.tif", "A 42053-2023")</f>
        <v/>
      </c>
      <c r="AA30">
        <f>HYPERLINK("https://klasma.github.io/Logging_1267/klagomål/A 42053-2023 FSC-klagomål.docx", "A 42053-2023")</f>
        <v/>
      </c>
      <c r="AB30">
        <f>HYPERLINK("https://klasma.github.io/Logging_1267/klagomålsmail/A 42053-2023 FSC-klagomål mail.docx", "A 42053-2023")</f>
        <v/>
      </c>
      <c r="AC30">
        <f>HYPERLINK("https://klasma.github.io/Logging_1267/tillsyn/A 42053-2023 tillsynsbegäran.docx", "A 42053-2023")</f>
        <v/>
      </c>
      <c r="AD30">
        <f>HYPERLINK("https://klasma.github.io/Logging_1267/tillsynsmail/A 42053-2023 tillsynsbegäran mail.docx", "A 42053-2023")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46282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HYPERLINK("https://klasma.github.io/Logging_1267/artfynd/A 54753-2022 artfynd.xlsx", "A 54753-2022")</f>
        <v/>
      </c>
      <c r="X31">
        <f>HYPERLINK("https://klasma.github.io/Logging_1267/kartor/A 54753-2022 karta.png", "A 54753-2022")</f>
        <v/>
      </c>
      <c r="Y31">
        <f>HYPERLINK("https://klasma.github.io/Logging_1267/kartor_geotiff/A 54753-2022 georefererad karta.tif", "A 54753-2022")</f>
        <v/>
      </c>
      <c r="AA31">
        <f>HYPERLINK("https://klasma.github.io/Logging_1267/klagomål/A 54753-2022 FSC-klagomål.docx", "A 54753-2022")</f>
        <v/>
      </c>
      <c r="AB31">
        <f>HYPERLINK("https://klasma.github.io/Logging_1267/klagomålsmail/A 54753-2022 FSC-klagomål mail.docx", "A 54753-2022")</f>
        <v/>
      </c>
      <c r="AC31">
        <f>HYPERLINK("https://klasma.github.io/Logging_1267/tillsyn/A 54753-2022 tillsynsbegäran.docx", "A 54753-2022")</f>
        <v/>
      </c>
      <c r="AD31">
        <f>HYPERLINK("https://klasma.github.io/Logging_1267/tillsynsmail/A 54753-2022 tillsynsbegäran mail.docx", "A 54753-2022")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46282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45550-2025 artfynd.xlsx", "A 45550-2025")</f>
        <v/>
      </c>
      <c r="X32">
        <f>HYPERLINK("https://klasma.github.io/Logging_1267/kartor/A 45550-2025 karta.png", "A 45550-2025")</f>
        <v/>
      </c>
      <c r="Y32">
        <f>HYPERLINK("https://klasma.github.io/Logging_1267/kartor_geotiff/A 45550-2025 georefererad karta.tif", "A 45550-2025")</f>
        <v/>
      </c>
      <c r="AA32">
        <f>HYPERLINK("https://klasma.github.io/Logging_1267/klagomål/A 45550-2025 FSC-klagomål.docx", "A 45550-2025")</f>
        <v/>
      </c>
      <c r="AB32">
        <f>HYPERLINK("https://klasma.github.io/Logging_1267/klagomålsmail/A 45550-2025 FSC-klagomål mail.docx", "A 45550-2025")</f>
        <v/>
      </c>
      <c r="AC32">
        <f>HYPERLINK("https://klasma.github.io/Logging_1267/tillsyn/A 45550-2025 tillsynsbegäran.docx", "A 45550-2025")</f>
        <v/>
      </c>
      <c r="AD32">
        <f>HYPERLINK("https://klasma.github.io/Logging_1267/tillsynsmail/A 45550-2025 tillsynsbegäran mail.docx", "A 45550-2025")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46282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46282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46282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46282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13429-2023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45005</v>
      </c>
      <c r="E37" s="1" t="n">
        <v>46282</v>
      </c>
      <c r="F37" t="inlineStr">
        <is>
          <t>SKÅNE LÄN</t>
        </is>
      </c>
      <c r="G37" t="inlineStr">
        <is>
          <t>HÖÖR</t>
        </is>
      </c>
      <c r="I37" t="n">
        <v>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Skogsbräsma</t>
        </is>
      </c>
      <c r="W37">
        <f>HYPERLINK("https://klasma.github.io/Logging_1267/artfynd/A 13429-2023 artfynd.xlsx", "A 13429-2023")</f>
        <v/>
      </c>
      <c r="X37">
        <f>HYPERLINK("https://klasma.github.io/Logging_1267/kartor/A 13429-2023 karta.png", "A 13429-2023")</f>
        <v/>
      </c>
      <c r="Y37">
        <f>HYPERLINK("https://klasma.github.io/Logging_1267/kartor_geotiff/A 13429-2023 georefererad karta.tif", "A 13429-2023")</f>
        <v/>
      </c>
      <c r="AA37">
        <f>HYPERLINK("https://klasma.github.io/Logging_1267/klagomål/A 13429-2023 FSC-klagomål.docx", "A 13429-2023")</f>
        <v/>
      </c>
      <c r="AB37">
        <f>HYPERLINK("https://klasma.github.io/Logging_1267/klagomålsmail/A 13429-2023 FSC-klagomål mail.docx", "A 13429-2023")</f>
        <v/>
      </c>
      <c r="AC37">
        <f>HYPERLINK("https://klasma.github.io/Logging_1267/tillsyn/A 13429-2023 tillsynsbegäran.docx", "A 13429-2023")</f>
        <v/>
      </c>
      <c r="AD37">
        <f>HYPERLINK("https://klasma.github.io/Logging_1267/tillsynsmail/A 13429-2023 tillsynsbegäran mail.docx", "A 13429-2023")</f>
        <v/>
      </c>
    </row>
    <row r="38" ht="15" customHeight="1">
      <c r="A38" t="inlineStr">
        <is>
          <t>A 34500-2026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46255</v>
      </c>
      <c r="E38" s="1" t="n">
        <v>46282</v>
      </c>
      <c r="F38" t="inlineStr">
        <is>
          <t>SKÅNE LÄN</t>
        </is>
      </c>
      <c r="G38" t="inlineStr">
        <is>
          <t>HÖÖR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HYPERLINK("https://klasma.github.io/Logging_1267/artfynd/A 34500-2026 artfynd.xlsx", "A 34500-2026")</f>
        <v/>
      </c>
      <c r="X38">
        <f>HYPERLINK("https://klasma.github.io/Logging_1267/kartor/A 34500-2026 karta.png", "A 34500-2026")</f>
        <v/>
      </c>
      <c r="Y38">
        <f>HYPERLINK("https://klasma.github.io/Logging_1267/kartor_geotiff/A 34500-2026 georefererad karta.tif", "A 34500-2026")</f>
        <v/>
      </c>
      <c r="AA38">
        <f>HYPERLINK("https://klasma.github.io/Logging_1267/klagomål/A 34500-2026 FSC-klagomål.docx", "A 34500-2026")</f>
        <v/>
      </c>
      <c r="AB38">
        <f>HYPERLINK("https://klasma.github.io/Logging_1267/klagomålsmail/A 34500-2026 FSC-klagomål mail.docx", "A 34500-2026")</f>
        <v/>
      </c>
      <c r="AC38">
        <f>HYPERLINK("https://klasma.github.io/Logging_1267/tillsyn/A 34500-2026 tillsynsbegäran.docx", "A 34500-2026")</f>
        <v/>
      </c>
      <c r="AD38">
        <f>HYPERLINK("https://klasma.github.io/Logging_1267/tillsynsmail/A 34500-2026 tillsynsbegäran mail.docx", "A 34500-2026")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46282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46282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46282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46282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46282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46282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46282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46282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46282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46282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46282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46282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46282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46282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46282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46282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46282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46282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46282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46282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30087-2023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46282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45159</v>
      </c>
      <c r="E61" s="1" t="n">
        <v>46282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45751</v>
      </c>
      <c r="E62" s="1" t="n">
        <v>46282</v>
      </c>
      <c r="F62" t="inlineStr">
        <is>
          <t>SKÅNE LÄN</t>
        </is>
      </c>
      <c r="G62" t="inlineStr">
        <is>
          <t>HÖÖR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31092-2023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45113</v>
      </c>
      <c r="E63" s="1" t="n">
        <v>46282</v>
      </c>
      <c r="F63" t="inlineStr">
        <is>
          <t>SKÅNE LÄN</t>
        </is>
      </c>
      <c r="G63" t="inlineStr">
        <is>
          <t>HÖÖR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46282</v>
      </c>
      <c r="F64" t="inlineStr">
        <is>
          <t>SKÅNE LÄN</t>
        </is>
      </c>
      <c r="G64" t="inlineStr">
        <is>
          <t>HÖÖR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46282</v>
      </c>
      <c r="F65" t="inlineStr">
        <is>
          <t>SKÅNE LÄN</t>
        </is>
      </c>
      <c r="G65" t="inlineStr">
        <is>
          <t>HÖÖR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46282</v>
      </c>
      <c r="F66" t="inlineStr">
        <is>
          <t>SKÅNE LÄN</t>
        </is>
      </c>
      <c r="G66" t="inlineStr">
        <is>
          <t>HÖÖR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12855-2023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45001</v>
      </c>
      <c r="E67" s="1" t="n">
        <v>46282</v>
      </c>
      <c r="F67" t="inlineStr">
        <is>
          <t>SKÅNE LÄN</t>
        </is>
      </c>
      <c r="G67" t="inlineStr">
        <is>
          <t>HÖÖR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46282</v>
      </c>
      <c r="F68" t="inlineStr">
        <is>
          <t>SKÅNE LÄN</t>
        </is>
      </c>
      <c r="G68" t="inlineStr">
        <is>
          <t>HÖÖR</t>
        </is>
      </c>
      <c r="I68" t="n">
        <v>12.3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45947</v>
      </c>
      <c r="E69" s="1" t="n">
        <v>46282</v>
      </c>
      <c r="F69" t="inlineStr">
        <is>
          <t>SKÅNE LÄN</t>
        </is>
      </c>
      <c r="G69" t="inlineStr">
        <is>
          <t>HÖÖR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44461</v>
      </c>
      <c r="E70" s="1" t="n">
        <v>46282</v>
      </c>
      <c r="F70" t="inlineStr">
        <is>
          <t>SKÅNE LÄN</t>
        </is>
      </c>
      <c r="G70" t="inlineStr">
        <is>
          <t>HÖÖR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60425-2022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44911</v>
      </c>
      <c r="E71" s="1" t="n">
        <v>46282</v>
      </c>
      <c r="F71" t="inlineStr">
        <is>
          <t>SKÅNE LÄN</t>
        </is>
      </c>
      <c r="G71" t="inlineStr">
        <is>
          <t>HÖÖR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11379-2024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45372</v>
      </c>
      <c r="E72" s="1" t="n">
        <v>46282</v>
      </c>
      <c r="F72" t="inlineStr">
        <is>
          <t>SKÅNE LÄN</t>
        </is>
      </c>
      <c r="G72" t="inlineStr">
        <is>
          <t>HÖÖR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44915</v>
      </c>
      <c r="E73" s="1" t="n">
        <v>46282</v>
      </c>
      <c r="F73" t="inlineStr">
        <is>
          <t>SKÅNE LÄN</t>
        </is>
      </c>
      <c r="G73" t="inlineStr">
        <is>
          <t>HÖÖR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46282</v>
      </c>
      <c r="F74" t="inlineStr">
        <is>
          <t>SKÅNE LÄN</t>
        </is>
      </c>
      <c r="G74" t="inlineStr">
        <is>
          <t>HÖÖR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45646</v>
      </c>
      <c r="E75" s="1" t="n">
        <v>46282</v>
      </c>
      <c r="F75" t="inlineStr">
        <is>
          <t>SKÅNE LÄN</t>
        </is>
      </c>
      <c r="G75" t="inlineStr">
        <is>
          <t>HÖÖR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46282</v>
      </c>
      <c r="F76" t="inlineStr">
        <is>
          <t>SKÅNE LÄN</t>
        </is>
      </c>
      <c r="G76" t="inlineStr">
        <is>
          <t>HÖÖR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46282</v>
      </c>
      <c r="F77" t="inlineStr">
        <is>
          <t>SKÅNE LÄN</t>
        </is>
      </c>
      <c r="G77" t="inlineStr">
        <is>
          <t>HÖÖR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46282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46282</v>
      </c>
      <c r="F79" t="inlineStr">
        <is>
          <t>SKÅNE LÄN</t>
        </is>
      </c>
      <c r="G79" t="inlineStr">
        <is>
          <t>HÖÖR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46282</v>
      </c>
      <c r="F80" t="inlineStr">
        <is>
          <t>SKÅNE LÄN</t>
        </is>
      </c>
      <c r="G80" t="inlineStr">
        <is>
          <t>HÖÖR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45709</v>
      </c>
      <c r="E81" s="1" t="n">
        <v>46282</v>
      </c>
      <c r="F81" t="inlineStr">
        <is>
          <t>SKÅNE LÄN</t>
        </is>
      </c>
      <c r="G81" t="inlineStr">
        <is>
          <t>HÖÖR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46282</v>
      </c>
      <c r="F82" t="inlineStr">
        <is>
          <t>SKÅNE LÄN</t>
        </is>
      </c>
      <c r="G82" t="inlineStr">
        <is>
          <t>HÖÖR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16665-2022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44672</v>
      </c>
      <c r="E83" s="1" t="n">
        <v>46282</v>
      </c>
      <c r="F83" t="inlineStr">
        <is>
          <t>SKÅNE LÄN</t>
        </is>
      </c>
      <c r="G83" t="inlineStr">
        <is>
          <t>HÖÖR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45190</v>
      </c>
      <c r="E84" s="1" t="n">
        <v>46282</v>
      </c>
      <c r="F84" t="inlineStr">
        <is>
          <t>SKÅNE LÄN</t>
        </is>
      </c>
      <c r="G84" t="inlineStr">
        <is>
          <t>HÖÖR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45323</v>
      </c>
      <c r="E85" s="1" t="n">
        <v>46282</v>
      </c>
      <c r="F85" t="inlineStr">
        <is>
          <t>SKÅNE LÄN</t>
        </is>
      </c>
      <c r="G85" t="inlineStr">
        <is>
          <t>HÖÖR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46282</v>
      </c>
      <c r="F86" t="inlineStr">
        <is>
          <t>SKÅNE LÄN</t>
        </is>
      </c>
      <c r="G86" t="inlineStr">
        <is>
          <t>HÖÖR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29285-2025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46282</v>
      </c>
      <c r="F87" t="inlineStr">
        <is>
          <t>SKÅNE LÄN</t>
        </is>
      </c>
      <c r="G87" t="inlineStr">
        <is>
          <t>HÖÖR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46282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28830-2025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46282</v>
      </c>
      <c r="F89" t="inlineStr">
        <is>
          <t>SKÅNE LÄN</t>
        </is>
      </c>
      <c r="G89" t="inlineStr">
        <is>
          <t>HÖÖR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46041</v>
      </c>
      <c r="E90" s="1" t="n">
        <v>46282</v>
      </c>
      <c r="F90" t="inlineStr">
        <is>
          <t>SKÅNE LÄN</t>
        </is>
      </c>
      <c r="G90" t="inlineStr">
        <is>
          <t>HÖÖR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46282</v>
      </c>
      <c r="F91" t="inlineStr">
        <is>
          <t>SKÅNE LÄN</t>
        </is>
      </c>
      <c r="G91" t="inlineStr">
        <is>
          <t>HÖÖR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46282</v>
      </c>
      <c r="F92" t="inlineStr">
        <is>
          <t>SKÅNE LÄN</t>
        </is>
      </c>
      <c r="G92" t="inlineStr">
        <is>
          <t>HÖÖR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46282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46282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45005</v>
      </c>
      <c r="E95" s="1" t="n">
        <v>46282</v>
      </c>
      <c r="F95" t="inlineStr">
        <is>
          <t>SKÅNE LÄN</t>
        </is>
      </c>
      <c r="G95" t="inlineStr">
        <is>
          <t>HÖÖR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46282</v>
      </c>
      <c r="F96" t="inlineStr">
        <is>
          <t>SKÅNE LÄN</t>
        </is>
      </c>
      <c r="G96" t="inlineStr">
        <is>
          <t>HÖÖR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46282</v>
      </c>
      <c r="F97" t="inlineStr">
        <is>
          <t>SKÅNE LÄN</t>
        </is>
      </c>
      <c r="G97" t="inlineStr">
        <is>
          <t>HÖÖR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46282</v>
      </c>
      <c r="F98" t="inlineStr">
        <is>
          <t>SKÅNE LÄN</t>
        </is>
      </c>
      <c r="G98" t="inlineStr">
        <is>
          <t>HÖÖR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46282</v>
      </c>
      <c r="F99" t="inlineStr">
        <is>
          <t>SKÅNE LÄN</t>
        </is>
      </c>
      <c r="G99" t="inlineStr">
        <is>
          <t>HÖÖR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45940</v>
      </c>
      <c r="E100" s="1" t="n">
        <v>46282</v>
      </c>
      <c r="F100" t="inlineStr">
        <is>
          <t>SKÅNE LÄN</t>
        </is>
      </c>
      <c r="G100" t="inlineStr">
        <is>
          <t>HÖÖR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44741</v>
      </c>
      <c r="E101" s="1" t="n">
        <v>46282</v>
      </c>
      <c r="F101" t="inlineStr">
        <is>
          <t>SKÅNE LÄN</t>
        </is>
      </c>
      <c r="G101" t="inlineStr">
        <is>
          <t>HÖÖR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45273</v>
      </c>
      <c r="E102" s="1" t="n">
        <v>46282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46282</v>
      </c>
      <c r="F103" t="inlineStr">
        <is>
          <t>SKÅNE LÄN</t>
        </is>
      </c>
      <c r="G103" t="inlineStr">
        <is>
          <t>HÖÖR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45061</v>
      </c>
      <c r="E104" s="1" t="n">
        <v>46282</v>
      </c>
      <c r="F104" t="inlineStr">
        <is>
          <t>SKÅNE LÄN</t>
        </is>
      </c>
      <c r="G104" t="inlineStr">
        <is>
          <t>HÖÖR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46282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8290-2026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46064</v>
      </c>
      <c r="E106" s="1" t="n">
        <v>46282</v>
      </c>
      <c r="F106" t="inlineStr">
        <is>
          <t>SKÅNE LÄN</t>
        </is>
      </c>
      <c r="G106" t="inlineStr">
        <is>
          <t>HÖÖR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46282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45405</v>
      </c>
      <c r="E108" s="1" t="n">
        <v>46282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46282</v>
      </c>
      <c r="F109" t="inlineStr">
        <is>
          <t>SKÅNE LÄN</t>
        </is>
      </c>
      <c r="G109" t="inlineStr">
        <is>
          <t>HÖÖR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46282</v>
      </c>
      <c r="F110" t="inlineStr">
        <is>
          <t>SKÅNE LÄN</t>
        </is>
      </c>
      <c r="G110" t="inlineStr">
        <is>
          <t>HÖÖR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46282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45342</v>
      </c>
      <c r="E112" s="1" t="n">
        <v>46282</v>
      </c>
      <c r="F112" t="inlineStr">
        <is>
          <t>SKÅNE LÄN</t>
        </is>
      </c>
      <c r="G112" t="inlineStr">
        <is>
          <t>HÖÖR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46282</v>
      </c>
      <c r="F113" t="inlineStr">
        <is>
          <t>SKÅNE LÄN</t>
        </is>
      </c>
      <c r="G113" t="inlineStr">
        <is>
          <t>HÖÖR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45982</v>
      </c>
      <c r="E114" s="1" t="n">
        <v>46282</v>
      </c>
      <c r="F114" t="inlineStr">
        <is>
          <t>SKÅNE LÄN</t>
        </is>
      </c>
      <c r="G114" t="inlineStr">
        <is>
          <t>HÖÖR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46064</v>
      </c>
      <c r="E115" s="1" t="n">
        <v>46282</v>
      </c>
      <c r="F115" t="inlineStr">
        <is>
          <t>SKÅNE LÄN</t>
        </is>
      </c>
      <c r="G115" t="inlineStr">
        <is>
          <t>HÖÖR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45987</v>
      </c>
      <c r="E116" s="1" t="n">
        <v>46282</v>
      </c>
      <c r="F116" t="inlineStr">
        <is>
          <t>SKÅNE LÄN</t>
        </is>
      </c>
      <c r="G116" t="inlineStr">
        <is>
          <t>HÖÖR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46282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46282</v>
      </c>
      <c r="F118" t="inlineStr">
        <is>
          <t>SKÅNE LÄN</t>
        </is>
      </c>
      <c r="G118" t="inlineStr">
        <is>
          <t>HÖÖR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45318</v>
      </c>
      <c r="E119" s="1" t="n">
        <v>46282</v>
      </c>
      <c r="F119" t="inlineStr">
        <is>
          <t>SKÅNE LÄN</t>
        </is>
      </c>
      <c r="G119" t="inlineStr">
        <is>
          <t>HÖÖR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46282</v>
      </c>
      <c r="F120" t="inlineStr">
        <is>
          <t>SKÅNE LÄN</t>
        </is>
      </c>
      <c r="G120" t="inlineStr">
        <is>
          <t>HÖÖR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46282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45770</v>
      </c>
      <c r="E122" s="1" t="n">
        <v>46282</v>
      </c>
      <c r="F122" t="inlineStr">
        <is>
          <t>SKÅNE LÄN</t>
        </is>
      </c>
      <c r="G122" t="inlineStr">
        <is>
          <t>HÖÖR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46282</v>
      </c>
      <c r="F123" t="inlineStr">
        <is>
          <t>SKÅNE LÄN</t>
        </is>
      </c>
      <c r="G123" t="inlineStr">
        <is>
          <t>HÖÖR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56941-2025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45978</v>
      </c>
      <c r="E124" s="1" t="n">
        <v>46282</v>
      </c>
      <c r="F124" t="inlineStr">
        <is>
          <t>SKÅNE LÄN</t>
        </is>
      </c>
      <c r="G124" t="inlineStr">
        <is>
          <t>HÖÖR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46023</v>
      </c>
      <c r="E125" s="1" t="n">
        <v>46282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46023</v>
      </c>
      <c r="E126" s="1" t="n">
        <v>46282</v>
      </c>
      <c r="F126" t="inlineStr">
        <is>
          <t>SKÅNE LÄN</t>
        </is>
      </c>
      <c r="G126" t="inlineStr">
        <is>
          <t>HÖÖR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44981</v>
      </c>
      <c r="E127" s="1" t="n">
        <v>46282</v>
      </c>
      <c r="F127" t="inlineStr">
        <is>
          <t>SKÅNE LÄN</t>
        </is>
      </c>
      <c r="G127" t="inlineStr">
        <is>
          <t>HÖÖR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46282</v>
      </c>
      <c r="F128" t="inlineStr">
        <is>
          <t>SKÅNE LÄN</t>
        </is>
      </c>
      <c r="G128" t="inlineStr">
        <is>
          <t>HÖÖR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45057</v>
      </c>
      <c r="E129" s="1" t="n">
        <v>46282</v>
      </c>
      <c r="F129" t="inlineStr">
        <is>
          <t>SKÅNE LÄN</t>
        </is>
      </c>
      <c r="G129" t="inlineStr">
        <is>
          <t>HÖÖR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44838</v>
      </c>
      <c r="E130" s="1" t="n">
        <v>46282</v>
      </c>
      <c r="F130" t="inlineStr">
        <is>
          <t>SKÅNE LÄN</t>
        </is>
      </c>
      <c r="G130" t="inlineStr">
        <is>
          <t>HÖÖR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47222-2022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44852</v>
      </c>
      <c r="E131" s="1" t="n">
        <v>46282</v>
      </c>
      <c r="F131" t="inlineStr">
        <is>
          <t>SKÅNE LÄN</t>
        </is>
      </c>
      <c r="G131" t="inlineStr">
        <is>
          <t>HÖÖR</t>
        </is>
      </c>
      <c r="I131" t="n">
        <v>12.3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44593</v>
      </c>
      <c r="E132" s="1" t="n">
        <v>46282</v>
      </c>
      <c r="F132" t="inlineStr">
        <is>
          <t>SKÅNE LÄN</t>
        </is>
      </c>
      <c r="G132" t="inlineStr">
        <is>
          <t>HÖÖR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46282</v>
      </c>
      <c r="F133" t="inlineStr">
        <is>
          <t>SKÅNE LÄN</t>
        </is>
      </c>
      <c r="G133" t="inlineStr">
        <is>
          <t>HÖÖR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46282</v>
      </c>
      <c r="F134" t="inlineStr">
        <is>
          <t>SKÅNE LÄN</t>
        </is>
      </c>
      <c r="G134" t="inlineStr">
        <is>
          <t>HÖÖR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17693-2026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46121</v>
      </c>
      <c r="E135" s="1" t="n">
        <v>46282</v>
      </c>
      <c r="F135" t="inlineStr">
        <is>
          <t>SKÅNE LÄN</t>
        </is>
      </c>
      <c r="G135" t="inlineStr">
        <is>
          <t>HÖÖR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46282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46064</v>
      </c>
      <c r="E137" s="1" t="n">
        <v>46282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46282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46282</v>
      </c>
      <c r="F139" t="inlineStr">
        <is>
          <t>SKÅNE LÄN</t>
        </is>
      </c>
      <c r="G139" t="inlineStr">
        <is>
          <t>HÖÖR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46282</v>
      </c>
      <c r="F140" t="inlineStr">
        <is>
          <t>SKÅNE LÄN</t>
        </is>
      </c>
      <c r="G140" t="inlineStr">
        <is>
          <t>HÖÖR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46282</v>
      </c>
      <c r="F141" t="inlineStr">
        <is>
          <t>SKÅNE LÄN</t>
        </is>
      </c>
      <c r="G141" t="inlineStr">
        <is>
          <t>HÖÖR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46282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44879</v>
      </c>
      <c r="E143" s="1" t="n">
        <v>46282</v>
      </c>
      <c r="F143" t="inlineStr">
        <is>
          <t>SKÅNE LÄN</t>
        </is>
      </c>
      <c r="G143" t="inlineStr">
        <is>
          <t>HÖÖR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46282</v>
      </c>
      <c r="F144" t="inlineStr">
        <is>
          <t>SKÅNE LÄN</t>
        </is>
      </c>
      <c r="G144" t="inlineStr">
        <is>
          <t>HÖÖR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46282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46282</v>
      </c>
      <c r="F146" t="inlineStr">
        <is>
          <t>SKÅNE LÄN</t>
        </is>
      </c>
      <c r="G146" t="inlineStr">
        <is>
          <t>HÖÖR</t>
        </is>
      </c>
      <c r="H146" t="inlineStr">
        <is>
          <t>Övriga statliga verk och myndigheter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46282</v>
      </c>
      <c r="F147" t="inlineStr">
        <is>
          <t>SKÅNE LÄN</t>
        </is>
      </c>
      <c r="G147" t="inlineStr">
        <is>
          <t>HÖÖR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44970</v>
      </c>
      <c r="E148" s="1" t="n">
        <v>46282</v>
      </c>
      <c r="F148" t="inlineStr">
        <is>
          <t>SKÅNE LÄN</t>
        </is>
      </c>
      <c r="G148" t="inlineStr">
        <is>
          <t>HÖÖR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44685</v>
      </c>
      <c r="E149" s="1" t="n">
        <v>46282</v>
      </c>
      <c r="F149" t="inlineStr">
        <is>
          <t>SKÅNE LÄN</t>
        </is>
      </c>
      <c r="G149" t="inlineStr">
        <is>
          <t>HÖÖR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45534</v>
      </c>
      <c r="E150" s="1" t="n">
        <v>46282</v>
      </c>
      <c r="F150" t="inlineStr">
        <is>
          <t>SKÅNE LÄN</t>
        </is>
      </c>
      <c r="G150" t="inlineStr">
        <is>
          <t>HÖÖR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46282</v>
      </c>
      <c r="F151" t="inlineStr">
        <is>
          <t>SKÅNE LÄN</t>
        </is>
      </c>
      <c r="G151" t="inlineStr">
        <is>
          <t>HÖÖR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46146</v>
      </c>
      <c r="E152" s="1" t="n">
        <v>46282</v>
      </c>
      <c r="F152" t="inlineStr">
        <is>
          <t>SKÅNE LÄN</t>
        </is>
      </c>
      <c r="G152" t="inlineStr">
        <is>
          <t>HÖÖR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46282</v>
      </c>
      <c r="F153" t="inlineStr">
        <is>
          <t>SKÅNE LÄN</t>
        </is>
      </c>
      <c r="G153" t="inlineStr">
        <is>
          <t>HÖÖR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65200-2021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44515</v>
      </c>
      <c r="E154" s="1" t="n">
        <v>46282</v>
      </c>
      <c r="F154" t="inlineStr">
        <is>
          <t>SKÅNE LÄN</t>
        </is>
      </c>
      <c r="G154" t="inlineStr">
        <is>
          <t>HÖÖR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46282</v>
      </c>
      <c r="F155" t="inlineStr">
        <is>
          <t>SKÅNE LÄN</t>
        </is>
      </c>
      <c r="G155" t="inlineStr">
        <is>
          <t>HÖÖR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46282</v>
      </c>
      <c r="F156" t="inlineStr">
        <is>
          <t>SKÅNE LÄN</t>
        </is>
      </c>
      <c r="G156" t="inlineStr">
        <is>
          <t>HÖÖR</t>
        </is>
      </c>
      <c r="H156" t="inlineStr">
        <is>
          <t>Övriga statliga verk och myndigheter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46282</v>
      </c>
      <c r="F157" t="inlineStr">
        <is>
          <t>SKÅNE LÄN</t>
        </is>
      </c>
      <c r="G157" t="inlineStr">
        <is>
          <t>HÖÖR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46282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46282</v>
      </c>
      <c r="F159" t="inlineStr">
        <is>
          <t>SKÅNE LÄN</t>
        </is>
      </c>
      <c r="G159" t="inlineStr">
        <is>
          <t>HÖÖR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46160</v>
      </c>
      <c r="E160" s="1" t="n">
        <v>46282</v>
      </c>
      <c r="F160" t="inlineStr">
        <is>
          <t>SKÅNE LÄN</t>
        </is>
      </c>
      <c r="G160" t="inlineStr">
        <is>
          <t>HÖÖR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44888</v>
      </c>
      <c r="E161" s="1" t="n">
        <v>46282</v>
      </c>
      <c r="F161" t="inlineStr">
        <is>
          <t>SKÅNE LÄN</t>
        </is>
      </c>
      <c r="G161" t="inlineStr">
        <is>
          <t>HÖÖR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46282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46282</v>
      </c>
      <c r="F163" t="inlineStr">
        <is>
          <t>SKÅNE LÄN</t>
        </is>
      </c>
      <c r="G163" t="inlineStr">
        <is>
          <t>HÖÖR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45343</v>
      </c>
      <c r="E164" s="1" t="n">
        <v>46282</v>
      </c>
      <c r="F164" t="inlineStr">
        <is>
          <t>SKÅNE LÄN</t>
        </is>
      </c>
      <c r="G164" t="inlineStr">
        <is>
          <t>HÖÖR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45315</v>
      </c>
      <c r="E165" s="1" t="n">
        <v>46282</v>
      </c>
      <c r="F165" t="inlineStr">
        <is>
          <t>SKÅNE LÄN</t>
        </is>
      </c>
      <c r="G165" t="inlineStr">
        <is>
          <t>HÖÖR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46282</v>
      </c>
      <c r="F166" t="inlineStr">
        <is>
          <t>SKÅNE LÄN</t>
        </is>
      </c>
      <c r="G166" t="inlineStr">
        <is>
          <t>HÖÖR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46282</v>
      </c>
      <c r="F167" t="inlineStr">
        <is>
          <t>SKÅNE LÄN</t>
        </is>
      </c>
      <c r="G167" t="inlineStr">
        <is>
          <t>HÖÖR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46282</v>
      </c>
      <c r="F168" t="inlineStr">
        <is>
          <t>SKÅNE LÄN</t>
        </is>
      </c>
      <c r="G168" t="inlineStr">
        <is>
          <t>HÖÖR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46282</v>
      </c>
      <c r="F169" t="inlineStr">
        <is>
          <t>SKÅNE LÄN</t>
        </is>
      </c>
      <c r="G169" t="inlineStr">
        <is>
          <t>HÖÖR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46282</v>
      </c>
      <c r="F170" t="inlineStr">
        <is>
          <t>SKÅNE LÄN</t>
        </is>
      </c>
      <c r="G170" t="inlineStr">
        <is>
          <t>HÖÖR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46282</v>
      </c>
      <c r="F171" t="inlineStr">
        <is>
          <t>SKÅNE LÄN</t>
        </is>
      </c>
      <c r="G171" t="inlineStr">
        <is>
          <t>HÖÖR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44874</v>
      </c>
      <c r="E172" s="1" t="n">
        <v>46282</v>
      </c>
      <c r="F172" t="inlineStr">
        <is>
          <t>SKÅNE LÄN</t>
        </is>
      </c>
      <c r="G172" t="inlineStr">
        <is>
          <t>HÖÖR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59702-2022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46282</v>
      </c>
      <c r="F173" t="inlineStr">
        <is>
          <t>SKÅNE LÄN</t>
        </is>
      </c>
      <c r="G173" t="inlineStr">
        <is>
          <t>HÖÖR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46282</v>
      </c>
      <c r="F174" t="inlineStr">
        <is>
          <t>SKÅNE LÄN</t>
        </is>
      </c>
      <c r="G174" t="inlineStr">
        <is>
          <t>HÖÖR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46282</v>
      </c>
      <c r="F175" t="inlineStr">
        <is>
          <t>SKÅNE LÄN</t>
        </is>
      </c>
      <c r="G175" t="inlineStr">
        <is>
          <t>HÖÖR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46282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46282</v>
      </c>
      <c r="F177" t="inlineStr">
        <is>
          <t>SKÅNE LÄN</t>
        </is>
      </c>
      <c r="G177" t="inlineStr">
        <is>
          <t>HÖÖR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46282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46282</v>
      </c>
      <c r="F179" t="inlineStr">
        <is>
          <t>SKÅNE LÄN</t>
        </is>
      </c>
      <c r="G179" t="inlineStr">
        <is>
          <t>HÖÖR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46282</v>
      </c>
      <c r="F180" t="inlineStr">
        <is>
          <t>SKÅNE LÄN</t>
        </is>
      </c>
      <c r="G180" t="inlineStr">
        <is>
          <t>HÖÖR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46282</v>
      </c>
      <c r="F181" t="inlineStr">
        <is>
          <t>SKÅNE LÄN</t>
        </is>
      </c>
      <c r="G181" t="inlineStr">
        <is>
          <t>HÖÖR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45216</v>
      </c>
      <c r="E182" s="1" t="n">
        <v>46282</v>
      </c>
      <c r="F182" t="inlineStr">
        <is>
          <t>SKÅNE LÄN</t>
        </is>
      </c>
      <c r="G182" t="inlineStr">
        <is>
          <t>HÖÖR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45216</v>
      </c>
      <c r="E183" s="1" t="n">
        <v>46282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46282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46282</v>
      </c>
      <c r="F185" t="inlineStr">
        <is>
          <t>SKÅNE LÄN</t>
        </is>
      </c>
      <c r="G185" t="inlineStr">
        <is>
          <t>HÖÖR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46282</v>
      </c>
      <c r="F186" t="inlineStr">
        <is>
          <t>SKÅNE LÄN</t>
        </is>
      </c>
      <c r="G186" t="inlineStr">
        <is>
          <t>HÖÖR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45526</v>
      </c>
      <c r="E187" s="1" t="n">
        <v>46282</v>
      </c>
      <c r="F187" t="inlineStr">
        <is>
          <t>SKÅNE LÄN</t>
        </is>
      </c>
      <c r="G187" t="inlineStr">
        <is>
          <t>HÖÖR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46282</v>
      </c>
      <c r="F188" t="inlineStr">
        <is>
          <t>SKÅNE LÄN</t>
        </is>
      </c>
      <c r="G188" t="inlineStr">
        <is>
          <t>HÖÖR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45001</v>
      </c>
      <c r="E189" s="1" t="n">
        <v>46282</v>
      </c>
      <c r="F189" t="inlineStr">
        <is>
          <t>SKÅNE LÄN</t>
        </is>
      </c>
      <c r="G189" t="inlineStr">
        <is>
          <t>HÖÖR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46282</v>
      </c>
      <c r="F190" t="inlineStr">
        <is>
          <t>SKÅNE LÄN</t>
        </is>
      </c>
      <c r="G190" t="inlineStr">
        <is>
          <t>HÖÖR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30339-2026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46209</v>
      </c>
      <c r="E191" s="1" t="n">
        <v>46282</v>
      </c>
      <c r="F191" t="inlineStr">
        <is>
          <t>SKÅNE LÄN</t>
        </is>
      </c>
      <c r="G191" t="inlineStr">
        <is>
          <t>HÖÖR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34495-2026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46255</v>
      </c>
      <c r="E192" s="1" t="n">
        <v>46282</v>
      </c>
      <c r="F192" t="inlineStr">
        <is>
          <t>SKÅNE LÄN</t>
        </is>
      </c>
      <c r="G192" t="inlineStr">
        <is>
          <t>HÖÖR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37082-2024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45539</v>
      </c>
      <c r="E193" s="1" t="n">
        <v>46282</v>
      </c>
      <c r="F193" t="inlineStr">
        <is>
          <t>SKÅNE LÄN</t>
        </is>
      </c>
      <c r="G193" t="inlineStr">
        <is>
          <t>HÖÖR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46255</v>
      </c>
      <c r="E194" s="1" t="n">
        <v>46282</v>
      </c>
      <c r="F194" t="inlineStr">
        <is>
          <t>SKÅNE LÄN</t>
        </is>
      </c>
      <c r="G194" t="inlineStr">
        <is>
          <t>HÖÖR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46282</v>
      </c>
      <c r="F195" t="inlineStr">
        <is>
          <t>SKÅNE LÄN</t>
        </is>
      </c>
      <c r="G195" t="inlineStr">
        <is>
          <t>HÖÖR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46282</v>
      </c>
      <c r="F196" t="inlineStr">
        <is>
          <t>SKÅNE LÄN</t>
        </is>
      </c>
      <c r="G196" t="inlineStr">
        <is>
          <t>HÖÖR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34670-2026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46258</v>
      </c>
      <c r="E197" s="1" t="n">
        <v>46282</v>
      </c>
      <c r="F197" t="inlineStr">
        <is>
          <t>SKÅNE LÄN</t>
        </is>
      </c>
      <c r="G197" t="inlineStr">
        <is>
          <t>HÖÖR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46282</v>
      </c>
      <c r="F198" t="inlineStr">
        <is>
          <t>SKÅNE LÄN</t>
        </is>
      </c>
      <c r="G198" t="inlineStr">
        <is>
          <t>HÖÖR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46282</v>
      </c>
      <c r="F199" t="inlineStr">
        <is>
          <t>SKÅNE LÄN</t>
        </is>
      </c>
      <c r="G199" t="inlineStr">
        <is>
          <t>HÖÖR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46282</v>
      </c>
      <c r="F200" t="inlineStr">
        <is>
          <t>SKÅNE LÄN</t>
        </is>
      </c>
      <c r="G200" t="inlineStr">
        <is>
          <t>HÖÖR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46265</v>
      </c>
      <c r="E201" s="1" t="n">
        <v>46282</v>
      </c>
      <c r="F201" t="inlineStr">
        <is>
          <t>SKÅNE LÄN</t>
        </is>
      </c>
      <c r="G201" t="inlineStr">
        <is>
          <t>HÖÖR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46251</v>
      </c>
      <c r="E202" s="1" t="n">
        <v>46282</v>
      </c>
      <c r="F202" t="inlineStr">
        <is>
          <t>SKÅNE LÄN</t>
        </is>
      </c>
      <c r="G202" t="inlineStr">
        <is>
          <t>HÖÖR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36392-2026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46268</v>
      </c>
      <c r="E203" s="1" t="n">
        <v>46282</v>
      </c>
      <c r="F203" t="inlineStr">
        <is>
          <t>SKÅNE LÄN</t>
        </is>
      </c>
      <c r="G203" t="inlineStr">
        <is>
          <t>HÖÖR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18246-2023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46282</v>
      </c>
      <c r="F204" t="inlineStr">
        <is>
          <t>SKÅNE LÄN</t>
        </is>
      </c>
      <c r="G204" t="inlineStr">
        <is>
          <t>HÖÖR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45327</v>
      </c>
      <c r="E205" s="1" t="n">
        <v>46282</v>
      </c>
      <c r="F205" t="inlineStr">
        <is>
          <t>SKÅNE LÄN</t>
        </is>
      </c>
      <c r="G205" t="inlineStr">
        <is>
          <t>HÖÖR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44890</v>
      </c>
      <c r="E206" s="1" t="n">
        <v>46282</v>
      </c>
      <c r="F206" t="inlineStr">
        <is>
          <t>SKÅNE LÄN</t>
        </is>
      </c>
      <c r="G206" t="inlineStr">
        <is>
          <t>HÖÖR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46273</v>
      </c>
      <c r="E207" s="1" t="n">
        <v>46282</v>
      </c>
      <c r="F207" t="inlineStr">
        <is>
          <t>SKÅNE LÄN</t>
        </is>
      </c>
      <c r="G207" t="inlineStr">
        <is>
          <t>HÖÖR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46282</v>
      </c>
      <c r="F208" t="inlineStr">
        <is>
          <t>SKÅNE LÄN</t>
        </is>
      </c>
      <c r="G208" t="inlineStr">
        <is>
          <t>HÖÖR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25795-2026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46282</v>
      </c>
      <c r="F209" t="inlineStr">
        <is>
          <t>SKÅNE LÄN</t>
        </is>
      </c>
      <c r="G209" t="inlineStr">
        <is>
          <t>HÖÖR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46191</v>
      </c>
      <c r="E210" s="1" t="n">
        <v>46282</v>
      </c>
      <c r="F210" t="inlineStr">
        <is>
          <t>SKÅNE LÄN</t>
        </is>
      </c>
      <c r="G210" t="inlineStr">
        <is>
          <t>HÖÖR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7782-2022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46282</v>
      </c>
      <c r="F211" t="inlineStr">
        <is>
          <t>SKÅNE LÄN</t>
        </is>
      </c>
      <c r="G211" t="inlineStr">
        <is>
          <t>HÖÖR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46282</v>
      </c>
      <c r="F212" t="inlineStr">
        <is>
          <t>SKÅNE LÄN</t>
        </is>
      </c>
      <c r="G212" t="inlineStr">
        <is>
          <t>HÖÖR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46282</v>
      </c>
      <c r="F213" t="inlineStr">
        <is>
          <t>SKÅNE LÄN</t>
        </is>
      </c>
      <c r="G213" t="inlineStr">
        <is>
          <t>HÖÖR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37758-2026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46279</v>
      </c>
      <c r="E214" s="1" t="n">
        <v>46282</v>
      </c>
      <c r="F214" t="inlineStr">
        <is>
          <t>SKÅNE LÄN</t>
        </is>
      </c>
      <c r="G214" t="inlineStr">
        <is>
          <t>HÖÖR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45236</v>
      </c>
      <c r="E215" s="1" t="n">
        <v>46282</v>
      </c>
      <c r="F215" t="inlineStr">
        <is>
          <t>SKÅNE LÄN</t>
        </is>
      </c>
      <c r="G215" t="inlineStr">
        <is>
          <t>HÖÖR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46282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46282</v>
      </c>
      <c r="F217" t="inlineStr">
        <is>
          <t>SKÅNE LÄN</t>
        </is>
      </c>
      <c r="G217" t="inlineStr">
        <is>
          <t>HÖÖR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46282</v>
      </c>
      <c r="F218" t="inlineStr">
        <is>
          <t>SKÅNE LÄN</t>
        </is>
      </c>
      <c r="G218" t="inlineStr">
        <is>
          <t>HÖÖR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46280</v>
      </c>
      <c r="E219" s="1" t="n">
        <v>46282</v>
      </c>
      <c r="F219" t="inlineStr">
        <is>
          <t>SKÅNE LÄN</t>
        </is>
      </c>
      <c r="G219" t="inlineStr">
        <is>
          <t>HÖÖR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46282</v>
      </c>
      <c r="F220" t="inlineStr">
        <is>
          <t>SKÅNE LÄN</t>
        </is>
      </c>
      <c r="G220" t="inlineStr">
        <is>
          <t>HÖÖR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28223-2026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46282</v>
      </c>
      <c r="F221" t="inlineStr">
        <is>
          <t>SKÅNE LÄN</t>
        </is>
      </c>
      <c r="G221" t="inlineStr">
        <is>
          <t>HÖÖR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44551</v>
      </c>
      <c r="E222" s="1" t="n">
        <v>46282</v>
      </c>
      <c r="F222" t="inlineStr">
        <is>
          <t>SKÅNE LÄN</t>
        </is>
      </c>
      <c r="G222" t="inlineStr">
        <is>
          <t>HÖÖR</t>
        </is>
      </c>
      <c r="H222" t="inlineStr">
        <is>
          <t>Övriga statliga verk och myndigheter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46282</v>
      </c>
      <c r="F223" t="inlineStr">
        <is>
          <t>SKÅNE LÄN</t>
        </is>
      </c>
      <c r="G223" t="inlineStr">
        <is>
          <t>HÖÖR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46282</v>
      </c>
      <c r="F224" t="inlineStr">
        <is>
          <t>SKÅNE LÄN</t>
        </is>
      </c>
      <c r="G224" t="inlineStr">
        <is>
          <t>HÖÖR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46282</v>
      </c>
      <c r="F225" t="inlineStr">
        <is>
          <t>SKÅNE LÄN</t>
        </is>
      </c>
      <c r="G225" t="inlineStr">
        <is>
          <t>HÖÖR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46282</v>
      </c>
      <c r="F226" t="inlineStr">
        <is>
          <t>SKÅNE LÄN</t>
        </is>
      </c>
      <c r="G226" t="inlineStr">
        <is>
          <t>HÖÖR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61019-2024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45645</v>
      </c>
      <c r="E227" s="1" t="n">
        <v>46282</v>
      </c>
      <c r="F227" t="inlineStr">
        <is>
          <t>SKÅNE LÄN</t>
        </is>
      </c>
      <c r="G227" t="inlineStr">
        <is>
          <t>HÖÖR</t>
        </is>
      </c>
      <c r="H227" t="inlineStr">
        <is>
          <t>Kommuner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45471</v>
      </c>
      <c r="E228" s="1" t="n">
        <v>46282</v>
      </c>
      <c r="F228" t="inlineStr">
        <is>
          <t>SKÅNE LÄN</t>
        </is>
      </c>
      <c r="G228" t="inlineStr">
        <is>
          <t>HÖÖR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45594</v>
      </c>
      <c r="E229" s="1" t="n">
        <v>46282</v>
      </c>
      <c r="F229" t="inlineStr">
        <is>
          <t>SKÅNE LÄN</t>
        </is>
      </c>
      <c r="G229" t="inlineStr">
        <is>
          <t>HÖÖR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46282</v>
      </c>
      <c r="F230" t="inlineStr">
        <is>
          <t>SKÅNE LÄN</t>
        </is>
      </c>
      <c r="G230" t="inlineStr">
        <is>
          <t>HÖÖR</t>
        </is>
      </c>
      <c r="I230" t="n">
        <v>28.4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46282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46282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46282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46282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46282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46282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46282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46282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46282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46282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46282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46282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46282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2026-09-17T01:59:03Z</dcterms:created>
  <dcterms:modified xmlns:dcterms="http://purl.org/dc/terms/" xmlns:xsi="http://www.w3.org/2001/XMLSchema-instance" xsi:type="dcterms:W3CDTF">2026-09-17T01:59:03Z</dcterms:modified>
</cp:coreProperties>
</file>