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45474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45474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45474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15070-2021</t>
        </is>
      </c>
      <c r="B5" s="1" t="n">
        <v>44281</v>
      </c>
      <c r="C5" s="1" t="n">
        <v>45474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Korallticka</t>
        </is>
      </c>
      <c r="S5">
        <f>HYPERLINK("https://klasma.github.io/Logging_1267/artfynd/A 15070-2021 artfynd.xlsx", "A 15070-2021")</f>
        <v/>
      </c>
      <c r="T5">
        <f>HYPERLINK("https://klasma.github.io/Logging_1267/kartor/A 15070-2021 karta.png", "A 15070-2021")</f>
        <v/>
      </c>
      <c r="V5">
        <f>HYPERLINK("https://klasma.github.io/Logging_1267/klagomål/A 15070-2021 FSC-klagomål.docx", "A 15070-2021")</f>
        <v/>
      </c>
      <c r="W5">
        <f>HYPERLINK("https://klasma.github.io/Logging_1267/klagomålsmail/A 15070-2021 FSC-klagomål mail.docx", "A 15070-2021")</f>
        <v/>
      </c>
      <c r="X5">
        <f>HYPERLINK("https://klasma.github.io/Logging_1267/tillsyn/A 15070-2021 tillsynsbegäran.docx", "A 15070-2021")</f>
        <v/>
      </c>
      <c r="Y5">
        <f>HYPERLINK("https://klasma.github.io/Logging_1267/tillsynsmail/A 15070-2021 tillsynsbegäran mail.docx", "A 15070-2021")</f>
        <v/>
      </c>
    </row>
    <row r="6" ht="15" customHeight="1">
      <c r="A6" t="inlineStr">
        <is>
          <t>A 44327-2021</t>
        </is>
      </c>
      <c r="B6" s="1" t="n">
        <v>44434</v>
      </c>
      <c r="C6" s="1" t="n">
        <v>45474</v>
      </c>
      <c r="D6" t="inlineStr">
        <is>
          <t>SKÅNE LÄN</t>
        </is>
      </c>
      <c r="E6" t="inlineStr">
        <is>
          <t>HÖÖR</t>
        </is>
      </c>
      <c r="G6" t="n">
        <v>12.1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Årta</t>
        </is>
      </c>
      <c r="S6">
        <f>HYPERLINK("https://klasma.github.io/Logging_1267/artfynd/A 44327-2021 artfynd.xlsx", "A 44327-2021")</f>
        <v/>
      </c>
      <c r="T6">
        <f>HYPERLINK("https://klasma.github.io/Logging_1267/kartor/A 44327-2021 karta.png", "A 44327-2021")</f>
        <v/>
      </c>
      <c r="V6">
        <f>HYPERLINK("https://klasma.github.io/Logging_1267/klagomål/A 44327-2021 FSC-klagomål.docx", "A 44327-2021")</f>
        <v/>
      </c>
      <c r="W6">
        <f>HYPERLINK("https://klasma.github.io/Logging_1267/klagomålsmail/A 44327-2021 FSC-klagomål mail.docx", "A 44327-2021")</f>
        <v/>
      </c>
      <c r="X6">
        <f>HYPERLINK("https://klasma.github.io/Logging_1267/tillsyn/A 44327-2021 tillsynsbegäran.docx", "A 44327-2021")</f>
        <v/>
      </c>
      <c r="Y6">
        <f>HYPERLINK("https://klasma.github.io/Logging_1267/tillsynsmail/A 44327-2021 tillsynsbegäran mail.docx", "A 44327-2021")</f>
        <v/>
      </c>
    </row>
    <row r="7" ht="15" customHeight="1">
      <c r="A7" t="inlineStr">
        <is>
          <t>A 46919-2021</t>
        </is>
      </c>
      <c r="B7" s="1" t="n">
        <v>44446</v>
      </c>
      <c r="C7" s="1" t="n">
        <v>45474</v>
      </c>
      <c r="D7" t="inlineStr">
        <is>
          <t>SKÅNE LÄN</t>
        </is>
      </c>
      <c r="E7" t="inlineStr">
        <is>
          <t>HÖÖR</t>
        </is>
      </c>
      <c r="G7" t="n">
        <v>2.8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HYPERLINK("https://klasma.github.io/Logging_1267/artfynd/A 46919-2021 artfynd.xlsx", "A 46919-2021")</f>
        <v/>
      </c>
      <c r="T7">
        <f>HYPERLINK("https://klasma.github.io/Logging_1267/kartor/A 46919-2021 karta.png", "A 46919-2021")</f>
        <v/>
      </c>
      <c r="V7">
        <f>HYPERLINK("https://klasma.github.io/Logging_1267/klagomål/A 46919-2021 FSC-klagomål.docx", "A 46919-2021")</f>
        <v/>
      </c>
      <c r="W7">
        <f>HYPERLINK("https://klasma.github.io/Logging_1267/klagomålsmail/A 46919-2021 FSC-klagomål mail.docx", "A 46919-2021")</f>
        <v/>
      </c>
      <c r="X7">
        <f>HYPERLINK("https://klasma.github.io/Logging_1267/tillsyn/A 46919-2021 tillsynsbegäran.docx", "A 46919-2021")</f>
        <v/>
      </c>
      <c r="Y7">
        <f>HYPERLINK("https://klasma.github.io/Logging_1267/tillsynsmail/A 46919-2021 tillsynsbegäran mail.docx", "A 46919-2021")</f>
        <v/>
      </c>
    </row>
    <row r="8" ht="15" customHeight="1">
      <c r="A8" t="inlineStr">
        <is>
          <t>A 12906-2023</t>
        </is>
      </c>
      <c r="B8" s="1" t="n">
        <v>45001</v>
      </c>
      <c r="C8" s="1" t="n">
        <v>45474</v>
      </c>
      <c r="D8" t="inlineStr">
        <is>
          <t>SKÅNE LÄN</t>
        </is>
      </c>
      <c r="E8" t="inlineStr">
        <is>
          <t>HÖÖR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HYPERLINK("https://klasma.github.io/Logging_1267/artfynd/A 12906-2023 artfynd.xlsx", "A 12906-2023")</f>
        <v/>
      </c>
      <c r="T8">
        <f>HYPERLINK("https://klasma.github.io/Logging_1267/kartor/A 12906-2023 karta.png", "A 12906-2023")</f>
        <v/>
      </c>
      <c r="V8">
        <f>HYPERLINK("https://klasma.github.io/Logging_1267/klagomål/A 12906-2023 FSC-klagomål.docx", "A 12906-2023")</f>
        <v/>
      </c>
      <c r="W8">
        <f>HYPERLINK("https://klasma.github.io/Logging_1267/klagomålsmail/A 12906-2023 FSC-klagomål mail.docx", "A 12906-2023")</f>
        <v/>
      </c>
      <c r="X8">
        <f>HYPERLINK("https://klasma.github.io/Logging_1267/tillsyn/A 12906-2023 tillsynsbegäran.docx", "A 12906-2023")</f>
        <v/>
      </c>
      <c r="Y8">
        <f>HYPERLINK("https://klasma.github.io/Logging_1267/tillsynsmail/A 12906-2023 tillsynsbegäran mail.docx", "A 12906-2023")</f>
        <v/>
      </c>
    </row>
    <row r="9" ht="15" customHeight="1">
      <c r="A9" t="inlineStr">
        <is>
          <t>A 19517-2023</t>
        </is>
      </c>
      <c r="B9" s="1" t="n">
        <v>45050</v>
      </c>
      <c r="C9" s="1" t="n">
        <v>45474</v>
      </c>
      <c r="D9" t="inlineStr">
        <is>
          <t>SKÅNE LÄN</t>
        </is>
      </c>
      <c r="E9" t="inlineStr">
        <is>
          <t>HÖÖR</t>
        </is>
      </c>
      <c r="G9" t="n">
        <v>6.2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Liten stinksvamp</t>
        </is>
      </c>
      <c r="S9">
        <f>HYPERLINK("https://klasma.github.io/Logging_1267/artfynd/A 19517-2023 artfynd.xlsx", "A 19517-2023")</f>
        <v/>
      </c>
      <c r="T9">
        <f>HYPERLINK("https://klasma.github.io/Logging_1267/kartor/A 19517-2023 karta.png", "A 19517-2023")</f>
        <v/>
      </c>
      <c r="V9">
        <f>HYPERLINK("https://klasma.github.io/Logging_1267/klagomål/A 19517-2023 FSC-klagomål.docx", "A 19517-2023")</f>
        <v/>
      </c>
      <c r="W9">
        <f>HYPERLINK("https://klasma.github.io/Logging_1267/klagomålsmail/A 19517-2023 FSC-klagomål mail.docx", "A 19517-2023")</f>
        <v/>
      </c>
      <c r="X9">
        <f>HYPERLINK("https://klasma.github.io/Logging_1267/tillsyn/A 19517-2023 tillsynsbegäran.docx", "A 19517-2023")</f>
        <v/>
      </c>
      <c r="Y9">
        <f>HYPERLINK("https://klasma.github.io/Logging_1267/tillsynsmail/A 19517-2023 tillsynsbegäran mail.docx", "A 19517-2023")</f>
        <v/>
      </c>
    </row>
    <row r="10" ht="15" customHeight="1">
      <c r="A10" t="inlineStr">
        <is>
          <t>A 24278-2023</t>
        </is>
      </c>
      <c r="B10" s="1" t="n">
        <v>45079</v>
      </c>
      <c r="C10" s="1" t="n">
        <v>45474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HYPERLINK("https://klasma.github.io/Logging_1267/artfynd/A 24278-2023 artfynd.xlsx", "A 24278-2023")</f>
        <v/>
      </c>
      <c r="T10">
        <f>HYPERLINK("https://klasma.github.io/Logging_1267/kartor/A 24278-2023 karta.png", "A 24278-2023")</f>
        <v/>
      </c>
      <c r="V10">
        <f>HYPERLINK("https://klasma.github.io/Logging_1267/klagomål/A 24278-2023 FSC-klagomål.docx", "A 24278-2023")</f>
        <v/>
      </c>
      <c r="W10">
        <f>HYPERLINK("https://klasma.github.io/Logging_1267/klagomålsmail/A 24278-2023 FSC-klagomål mail.docx", "A 24278-2023")</f>
        <v/>
      </c>
      <c r="X10">
        <f>HYPERLINK("https://klasma.github.io/Logging_1267/tillsyn/A 24278-2023 tillsynsbegäran.docx", "A 24278-2023")</f>
        <v/>
      </c>
      <c r="Y10">
        <f>HYPERLINK("https://klasma.github.io/Logging_1267/tillsynsmail/A 24278-2023 tillsynsbegäran mail.docx", "A 24278-2023")</f>
        <v/>
      </c>
      <c r="Z10">
        <f>HYPERLINK("https://klasma.github.io/Logging_1267/fåglar/A 24278-2023 prioriterade fågelarter.docx", "A 24278-2023")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45474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45474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45474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45474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45474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45474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45474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45474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45474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45474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45474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45474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45474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45474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45474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45474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45474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45474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45474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45474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45474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45474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45474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45474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45474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45474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45474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45474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45474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45474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45474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45474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45474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45474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45474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45474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45474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45474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45474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45474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45474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45474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45474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45474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45474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45474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45474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45474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45474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45474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45474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45474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45474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45474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45474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45474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45474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45474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45474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45474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45474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45474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45474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45474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45474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45474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45474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45474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45474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45474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45474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45474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45474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45474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45474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45474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45474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45474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45474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45474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45474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45474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45474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45474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45474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45474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45474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45474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45474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45474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45474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45474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45474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45474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45474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45474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45474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45474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45474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45474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45474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45474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45474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45474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45474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45474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45474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45474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45474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45474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45474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45474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45474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45474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45474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45474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45474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45474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45474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45474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45474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45474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45474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45474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45474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45474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45474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45474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45474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45474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45474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45474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45474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45474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45474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45474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45474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45474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45474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45474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45474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45474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45474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45474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45474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45474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45474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45474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45474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45474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45474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45474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45474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45474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45474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45474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45474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45474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45474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45474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45474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45474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45474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45474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45474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45474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45474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45474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45474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45474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45474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45474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45474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45474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45474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45474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45474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45474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45474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45474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45474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45474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45474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45474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45474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45474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45474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45474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45474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45474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45474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45474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45474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45474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45474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45474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45474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45474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45474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45474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45474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45474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45474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45474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45474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45474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45474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45474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45474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45474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45474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45474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45474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45474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45474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45474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45474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45474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45474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45474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45474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45474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45474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45474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45474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45474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45474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45474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45474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45474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45474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45474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45474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45474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45474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45474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45474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45474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45474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45474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45474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45474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45474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45474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27251-2024</t>
        </is>
      </c>
      <c r="B255" s="1" t="n">
        <v>45471</v>
      </c>
      <c r="C255" s="1" t="n">
        <v>45474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2024-07-01T10:10:55Z</dcterms:created>
  <dcterms:modified xmlns:dcterms="http://purl.org/dc/terms/" xmlns:xsi="http://www.w3.org/2001/XMLSchema-instance" xsi:type="dcterms:W3CDTF">2024-07-01T10:10:55Z</dcterms:modified>
</cp:coreProperties>
</file>