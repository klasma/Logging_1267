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46226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46226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46226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46226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46226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46226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46226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46226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46226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46226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46226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46226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46226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46226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46226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46226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46226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46226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46226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46226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46226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46226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46226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46226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46226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46226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46226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46226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46226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46226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46226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46226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3924-2024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46226</v>
      </c>
      <c r="F34" t="inlineStr">
        <is>
          <t>SKÅNE LÄN</t>
        </is>
      </c>
      <c r="G34" t="inlineStr">
        <is>
          <t>HÖÖR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Vitnoppa</t>
        </is>
      </c>
      <c r="W34">
        <f>HYPERLINK("https://klasma.github.io/Logging_1267/artfynd/A 3924-2024 artfynd.xlsx", "A 3924-2024")</f>
        <v/>
      </c>
      <c r="X34">
        <f>HYPERLINK("https://klasma.github.io/Logging_1267/kartor/A 3924-2024 karta.png", "A 3924-2024")</f>
        <v/>
      </c>
      <c r="Y34">
        <f>HYPERLINK("https://klasma.github.io/Logging_1267/kartor_geotiff/A 3924-2024 georefererad karta.tif", "A 3924-2024")</f>
        <v/>
      </c>
      <c r="AA34">
        <f>HYPERLINK("https://klasma.github.io/Logging_1267/klagomål/A 3924-2024 FSC-klagomål.docx", "A 3924-2024")</f>
        <v/>
      </c>
      <c r="AB34">
        <f>HYPERLINK("https://klasma.github.io/Logging_1267/klagomålsmail/A 3924-2024 FSC-klagomål mail.docx", "A 3924-2024")</f>
        <v/>
      </c>
      <c r="AC34">
        <f>HYPERLINK("https://klasma.github.io/Logging_1267/tillsyn/A 3924-2024 tillsynsbegäran.docx", "A 3924-2024")</f>
        <v/>
      </c>
      <c r="AD34">
        <f>HYPERLINK("https://klasma.github.io/Logging_1267/tillsynsmail/A 3924-2024 tillsynsbegäran mail.docx", "A 3924-2024")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46226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46226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46226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13429-2023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45005</v>
      </c>
      <c r="E38" s="1" t="n">
        <v>46226</v>
      </c>
      <c r="F38" t="inlineStr">
        <is>
          <t>SKÅNE LÄN</t>
        </is>
      </c>
      <c r="G38" t="inlineStr">
        <is>
          <t>HÖÖR</t>
        </is>
      </c>
      <c r="I38" t="n">
        <v>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Skogsbräsma</t>
        </is>
      </c>
      <c r="W38">
        <f>HYPERLINK("https://klasma.github.io/Logging_1267/artfynd/A 13429-2023 artfynd.xlsx", "A 13429-2023")</f>
        <v/>
      </c>
      <c r="X38">
        <f>HYPERLINK("https://klasma.github.io/Logging_1267/kartor/A 13429-2023 karta.png", "A 13429-2023")</f>
        <v/>
      </c>
      <c r="Y38">
        <f>HYPERLINK("https://klasma.github.io/Logging_1267/kartor_geotiff/A 13429-2023 georefererad karta.tif", "A 13429-2023")</f>
        <v/>
      </c>
      <c r="AA38">
        <f>HYPERLINK("https://klasma.github.io/Logging_1267/klagomål/A 13429-2023 FSC-klagomål.docx", "A 13429-2023")</f>
        <v/>
      </c>
      <c r="AB38">
        <f>HYPERLINK("https://klasma.github.io/Logging_1267/klagomålsmail/A 13429-2023 FSC-klagomål mail.docx", "A 13429-2023")</f>
        <v/>
      </c>
      <c r="AC38">
        <f>HYPERLINK("https://klasma.github.io/Logging_1267/tillsyn/A 13429-2023 tillsynsbegäran.docx", "A 13429-2023")</f>
        <v/>
      </c>
      <c r="AD38">
        <f>HYPERLINK("https://klasma.github.io/Logging_1267/tillsynsmail/A 13429-2023 tillsynsbegäran mail.docx", "A 13429-2023")</f>
        <v/>
      </c>
    </row>
    <row r="39" ht="15" customHeight="1">
      <c r="A39" t="inlineStr">
        <is>
          <t>A 53956-2023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46226</v>
      </c>
      <c r="F39" t="inlineStr">
        <is>
          <t>SKÅNE LÄN</t>
        </is>
      </c>
      <c r="G39" t="inlineStr">
        <is>
          <t>HÖÖR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Ängskovall</t>
        </is>
      </c>
      <c r="W39">
        <f>HYPERLINK("https://klasma.github.io/Logging_1267/artfynd/A 53956-2023 artfynd.xlsx", "A 53956-2023")</f>
        <v/>
      </c>
      <c r="X39">
        <f>HYPERLINK("https://klasma.github.io/Logging_1267/kartor/A 53956-2023 karta.png", "A 53956-2023")</f>
        <v/>
      </c>
      <c r="Y39">
        <f>HYPERLINK("https://klasma.github.io/Logging_1267/kartor_geotiff/A 53956-2023 georefererad karta.tif", "A 53956-2023")</f>
        <v/>
      </c>
      <c r="AA39">
        <f>HYPERLINK("https://klasma.github.io/Logging_1267/klagomål/A 53956-2023 FSC-klagomål.docx", "A 53956-2023")</f>
        <v/>
      </c>
      <c r="AB39">
        <f>HYPERLINK("https://klasma.github.io/Logging_1267/klagomålsmail/A 53956-2023 FSC-klagomål mail.docx", "A 53956-2023")</f>
        <v/>
      </c>
      <c r="AC39">
        <f>HYPERLINK("https://klasma.github.io/Logging_1267/tillsyn/A 53956-2023 tillsynsbegäran.docx", "A 53956-2023")</f>
        <v/>
      </c>
      <c r="AD39">
        <f>HYPERLINK("https://klasma.github.io/Logging_1267/tillsynsmail/A 53956-2023 tillsynsbegäran mail.docx", "A 53956-2023")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46226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46226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8915-2021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44504</v>
      </c>
      <c r="E42" s="1" t="n">
        <v>46226</v>
      </c>
      <c r="F42" t="inlineStr">
        <is>
          <t>SKÅNE LÄN</t>
        </is>
      </c>
      <c r="G42" t="inlineStr">
        <is>
          <t>HÖÖR</t>
        </is>
      </c>
      <c r="I42" t="n">
        <v>37.2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HYPERLINK("https://klasma.github.io/Logging_1267/artfynd/S 8915-2021 artfynd.xlsx", "S 8915-2021")</f>
        <v/>
      </c>
      <c r="X42">
        <f>HYPERLINK("https://klasma.github.io/Logging_1267/kartor/S 8915-2021 karta.png", "S 8915-2021")</f>
        <v/>
      </c>
      <c r="Y42">
        <f>HYPERLINK("https://klasma.github.io/Logging_1267/kartor_geotiff/S 8915-2021 georefererad karta.tif", "S 8915-2021")</f>
        <v/>
      </c>
      <c r="AA42">
        <f>HYPERLINK("https://klasma.github.io/Logging_1267/klagomål/S 8915-2021 FSC-klagomål.docx", "S 8915-2021")</f>
        <v/>
      </c>
      <c r="AB42">
        <f>HYPERLINK("https://klasma.github.io/Logging_1267/klagomålsmail/S 8915-2021 FSC-klagomål mail.docx", "S 8915-2021")</f>
        <v/>
      </c>
      <c r="AC42">
        <f>HYPERLINK("https://klasma.github.io/Logging_1267/tillsyn/S 8915-2021 tillsynsbegäran.docx", "S 8915-2021")</f>
        <v/>
      </c>
      <c r="AD42">
        <f>HYPERLINK("https://klasma.github.io/Logging_1267/tillsynsmail/S 8915-2021 tillsynsbegäran mail.docx", "S 8915-2021")</f>
        <v/>
      </c>
    </row>
    <row r="43" ht="15" customHeight="1">
      <c r="A43" t="inlineStr">
        <is>
          <t>S 5973-2022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44858</v>
      </c>
      <c r="E43" s="1" t="n">
        <v>46226</v>
      </c>
      <c r="F43" t="inlineStr">
        <is>
          <t>SKÅNE LÄN</t>
        </is>
      </c>
      <c r="G43" t="inlineStr">
        <is>
          <t>HÖÖR</t>
        </is>
      </c>
      <c r="I43" t="n">
        <v>15.5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HYPERLINK("https://klasma.github.io/Logging_1267/artfynd/S 5973-2022 artfynd.xlsx", "S 5973-2022")</f>
        <v/>
      </c>
      <c r="X43">
        <f>HYPERLINK("https://klasma.github.io/Logging_1267/kartor/S 5973-2022 karta.png", "S 5973-2022")</f>
        <v/>
      </c>
      <c r="Y43">
        <f>HYPERLINK("https://klasma.github.io/Logging_1267/kartor_geotiff/S 5973-2022 georefererad karta.tif", "S 5973-2022")</f>
        <v/>
      </c>
      <c r="AA43">
        <f>HYPERLINK("https://klasma.github.io/Logging_1267/klagomål/S 5973-2022 FSC-klagomål.docx", "S 5973-2022")</f>
        <v/>
      </c>
      <c r="AB43">
        <f>HYPERLINK("https://klasma.github.io/Logging_1267/klagomålsmail/S 5973-2022 FSC-klagomål mail.docx", "S 5973-2022")</f>
        <v/>
      </c>
      <c r="AC43">
        <f>HYPERLINK("https://klasma.github.io/Logging_1267/tillsyn/S 5973-2022 tillsynsbegäran.docx", "S 5973-2022")</f>
        <v/>
      </c>
      <c r="AD43">
        <f>HYPERLINK("https://klasma.github.io/Logging_1267/tillsynsmail/S 5973-2022 tillsynsbegäran mail.docx", "S 5973-2022")</f>
        <v/>
      </c>
    </row>
    <row r="44" ht="15" customHeight="1">
      <c r="A44" t="inlineStr">
        <is>
          <t>S 2339-2022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44686</v>
      </c>
      <c r="E44" s="1" t="n">
        <v>46226</v>
      </c>
      <c r="F44" t="inlineStr">
        <is>
          <t>SKÅNE LÄN</t>
        </is>
      </c>
      <c r="G44" t="inlineStr">
        <is>
          <t>HÖÖR</t>
        </is>
      </c>
      <c r="I44" t="n">
        <v>20.3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Småvänderot</t>
        </is>
      </c>
      <c r="W44">
        <f>HYPERLINK("https://klasma.github.io/Logging_1267/artfynd/S 2339-2022 artfynd.xlsx", "S 2339-2022")</f>
        <v/>
      </c>
      <c r="X44">
        <f>HYPERLINK("https://klasma.github.io/Logging_1267/kartor/S 2339-2022 karta.png", "S 2339-2022")</f>
        <v/>
      </c>
      <c r="Y44">
        <f>HYPERLINK("https://klasma.github.io/Logging_1267/kartor_geotiff/S 2339-2022 georefererad karta.tif", "S 2339-2022")</f>
        <v/>
      </c>
      <c r="AA44">
        <f>HYPERLINK("https://klasma.github.io/Logging_1267/klagomål/S 2339-2022 FSC-klagomål.docx", "S 2339-2022")</f>
        <v/>
      </c>
      <c r="AB44">
        <f>HYPERLINK("https://klasma.github.io/Logging_1267/klagomålsmail/S 2339-2022 FSC-klagomål mail.docx", "S 2339-2022")</f>
        <v/>
      </c>
      <c r="AC44">
        <f>HYPERLINK("https://klasma.github.io/Logging_1267/tillsyn/S 2339-2022 tillsynsbegäran.docx", "S 2339-2022")</f>
        <v/>
      </c>
      <c r="AD44">
        <f>HYPERLINK("https://klasma.github.io/Logging_1267/tillsynsmail/S 2339-2022 tillsynsbegäran mail.docx", "S 2339-2022")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46226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46226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46226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46226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46226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46226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46226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46226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46226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46226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46226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46226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46226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44403</v>
      </c>
      <c r="E58" s="1" t="n">
        <v>46226</v>
      </c>
      <c r="F58" t="inlineStr">
        <is>
          <t>SKÅNE LÄN</t>
        </is>
      </c>
      <c r="G58" t="inlineStr">
        <is>
          <t>HÖÖR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44515</v>
      </c>
      <c r="E59" s="1" t="n">
        <v>46226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46226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46226</v>
      </c>
      <c r="F61" t="inlineStr">
        <is>
          <t>SKÅNE LÄN</t>
        </is>
      </c>
      <c r="G61" t="inlineStr">
        <is>
          <t>HÖÖR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35801-2024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45532</v>
      </c>
      <c r="E62" s="1" t="n">
        <v>46226</v>
      </c>
      <c r="F62" t="inlineStr">
        <is>
          <t>SKÅNE LÄN</t>
        </is>
      </c>
      <c r="G62" t="inlineStr">
        <is>
          <t>HÖÖR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16110-2024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45406</v>
      </c>
      <c r="E63" s="1" t="n">
        <v>46226</v>
      </c>
      <c r="F63" t="inlineStr">
        <is>
          <t>SKÅNE LÄN</t>
        </is>
      </c>
      <c r="G63" t="inlineStr">
        <is>
          <t>HÖÖR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10007-2022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44621</v>
      </c>
      <c r="E64" s="1" t="n">
        <v>46226</v>
      </c>
      <c r="F64" t="inlineStr">
        <is>
          <t>SKÅNE LÄN</t>
        </is>
      </c>
      <c r="G64" t="inlineStr">
        <is>
          <t>HÖÖR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30087-2023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46226</v>
      </c>
      <c r="F65" t="inlineStr">
        <is>
          <t>SKÅNE LÄN</t>
        </is>
      </c>
      <c r="G65" t="inlineStr">
        <is>
          <t>HÖÖR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37675-2023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45159</v>
      </c>
      <c r="E66" s="1" t="n">
        <v>46226</v>
      </c>
      <c r="F66" t="inlineStr">
        <is>
          <t>SKÅNE LÄN</t>
        </is>
      </c>
      <c r="G66" t="inlineStr">
        <is>
          <t>HÖÖR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46226</v>
      </c>
      <c r="F67" t="inlineStr">
        <is>
          <t>SKÅNE LÄN</t>
        </is>
      </c>
      <c r="G67" t="inlineStr">
        <is>
          <t>HÖÖR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31092-2023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45113</v>
      </c>
      <c r="E68" s="1" t="n">
        <v>46226</v>
      </c>
      <c r="F68" t="inlineStr">
        <is>
          <t>SKÅNE LÄN</t>
        </is>
      </c>
      <c r="G68" t="inlineStr">
        <is>
          <t>HÖÖR</t>
        </is>
      </c>
      <c r="I68" t="n">
        <v>7.8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46226</v>
      </c>
      <c r="F69" t="inlineStr">
        <is>
          <t>SKÅNE LÄN</t>
        </is>
      </c>
      <c r="G69" t="inlineStr">
        <is>
          <t>HÖÖR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47136-2022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44848</v>
      </c>
      <c r="E70" s="1" t="n">
        <v>46226</v>
      </c>
      <c r="F70" t="inlineStr">
        <is>
          <t>SKÅNE LÄN</t>
        </is>
      </c>
      <c r="G70" t="inlineStr">
        <is>
          <t>HÖÖR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46777-2024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46226</v>
      </c>
      <c r="F71" t="inlineStr">
        <is>
          <t>SKÅNE LÄN</t>
        </is>
      </c>
      <c r="G71" t="inlineStr">
        <is>
          <t>HÖÖR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12855-2023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45001</v>
      </c>
      <c r="E72" s="1" t="n">
        <v>46226</v>
      </c>
      <c r="F72" t="inlineStr">
        <is>
          <t>SKÅNE LÄN</t>
        </is>
      </c>
      <c r="G72" t="inlineStr">
        <is>
          <t>HÖÖR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11379-2024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45372</v>
      </c>
      <c r="E73" s="1" t="n">
        <v>46226</v>
      </c>
      <c r="F73" t="inlineStr">
        <is>
          <t>SKÅNE LÄN</t>
        </is>
      </c>
      <c r="G73" t="inlineStr">
        <is>
          <t>HÖÖR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61377-2024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45646</v>
      </c>
      <c r="E74" s="1" t="n">
        <v>46226</v>
      </c>
      <c r="F74" t="inlineStr">
        <is>
          <t>SKÅNE LÄN</t>
        </is>
      </c>
      <c r="G74" t="inlineStr">
        <is>
          <t>HÖÖR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17723-2023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45037</v>
      </c>
      <c r="E75" s="1" t="n">
        <v>46226</v>
      </c>
      <c r="F75" t="inlineStr">
        <is>
          <t>SKÅNE LÄN</t>
        </is>
      </c>
      <c r="G75" t="inlineStr">
        <is>
          <t>HÖÖR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45664</v>
      </c>
      <c r="E76" s="1" t="n">
        <v>46226</v>
      </c>
      <c r="F76" t="inlineStr">
        <is>
          <t>SKÅNE LÄN</t>
        </is>
      </c>
      <c r="G76" t="inlineStr">
        <is>
          <t>HÖÖR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8290-2026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46064</v>
      </c>
      <c r="E77" s="1" t="n">
        <v>46226</v>
      </c>
      <c r="F77" t="inlineStr">
        <is>
          <t>SKÅNE LÄN</t>
        </is>
      </c>
      <c r="G77" t="inlineStr">
        <is>
          <t>HÖÖR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44672</v>
      </c>
      <c r="E78" s="1" t="n">
        <v>46226</v>
      </c>
      <c r="F78" t="inlineStr">
        <is>
          <t>SKÅNE LÄN</t>
        </is>
      </c>
      <c r="G78" t="inlineStr">
        <is>
          <t>HÖÖR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45190</v>
      </c>
      <c r="E79" s="1" t="n">
        <v>46226</v>
      </c>
      <c r="F79" t="inlineStr">
        <is>
          <t>SKÅNE LÄN</t>
        </is>
      </c>
      <c r="G79" t="inlineStr">
        <is>
          <t>HÖÖR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45323</v>
      </c>
      <c r="E80" s="1" t="n">
        <v>46226</v>
      </c>
      <c r="F80" t="inlineStr">
        <is>
          <t>SKÅNE LÄN</t>
        </is>
      </c>
      <c r="G80" t="inlineStr">
        <is>
          <t>HÖÖR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39603-2023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45167</v>
      </c>
      <c r="E81" s="1" t="n">
        <v>46226</v>
      </c>
      <c r="F81" t="inlineStr">
        <is>
          <t>SKÅNE LÄN</t>
        </is>
      </c>
      <c r="G81" t="inlineStr">
        <is>
          <t>HÖÖR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8296-2026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46064</v>
      </c>
      <c r="E82" s="1" t="n">
        <v>46226</v>
      </c>
      <c r="F82" t="inlineStr">
        <is>
          <t>SKÅNE LÄN</t>
        </is>
      </c>
      <c r="G82" t="inlineStr">
        <is>
          <t>HÖÖR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40083-2025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45894</v>
      </c>
      <c r="E83" s="1" t="n">
        <v>46226</v>
      </c>
      <c r="F83" t="inlineStr">
        <is>
          <t>SKÅNE LÄN</t>
        </is>
      </c>
      <c r="G83" t="inlineStr">
        <is>
          <t>HÖÖR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40090-2025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46226</v>
      </c>
      <c r="F84" t="inlineStr">
        <is>
          <t>SKÅNE LÄN</t>
        </is>
      </c>
      <c r="G84" t="inlineStr">
        <is>
          <t>HÖÖR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45987</v>
      </c>
      <c r="E85" s="1" t="n">
        <v>46226</v>
      </c>
      <c r="F85" t="inlineStr">
        <is>
          <t>SKÅNE LÄN</t>
        </is>
      </c>
      <c r="G85" t="inlineStr">
        <is>
          <t>HÖÖR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46226</v>
      </c>
      <c r="F86" t="inlineStr">
        <is>
          <t>SKÅNE LÄN</t>
        </is>
      </c>
      <c r="G86" t="inlineStr">
        <is>
          <t>HÖÖR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45005</v>
      </c>
      <c r="E87" s="1" t="n">
        <v>46226</v>
      </c>
      <c r="F87" t="inlineStr">
        <is>
          <t>SKÅNE LÄN</t>
        </is>
      </c>
      <c r="G87" t="inlineStr">
        <is>
          <t>HÖÖR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14515-2023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45012</v>
      </c>
      <c r="E88" s="1" t="n">
        <v>46226</v>
      </c>
      <c r="F88" t="inlineStr">
        <is>
          <t>SKÅNE LÄN</t>
        </is>
      </c>
      <c r="G88" t="inlineStr">
        <is>
          <t>HÖÖR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46226</v>
      </c>
      <c r="F89" t="inlineStr">
        <is>
          <t>SKÅNE LÄN</t>
        </is>
      </c>
      <c r="G89" t="inlineStr">
        <is>
          <t>HÖÖR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44838</v>
      </c>
      <c r="E90" s="1" t="n">
        <v>46226</v>
      </c>
      <c r="F90" t="inlineStr">
        <is>
          <t>SKÅNE LÄN</t>
        </is>
      </c>
      <c r="G90" t="inlineStr">
        <is>
          <t>HÖÖR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43897-2022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44838</v>
      </c>
      <c r="E91" s="1" t="n">
        <v>46226</v>
      </c>
      <c r="F91" t="inlineStr">
        <is>
          <t>SKÅNE LÄN</t>
        </is>
      </c>
      <c r="G91" t="inlineStr">
        <is>
          <t>HÖÖR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45831</v>
      </c>
      <c r="E92" s="1" t="n">
        <v>46226</v>
      </c>
      <c r="F92" t="inlineStr">
        <is>
          <t>SKÅNE LÄN</t>
        </is>
      </c>
      <c r="G92" t="inlineStr">
        <is>
          <t>HÖÖR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27219-2022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44741</v>
      </c>
      <c r="E93" s="1" t="n">
        <v>46226</v>
      </c>
      <c r="F93" t="inlineStr">
        <is>
          <t>SKÅNE LÄN</t>
        </is>
      </c>
      <c r="G93" t="inlineStr">
        <is>
          <t>HÖÖR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46226</v>
      </c>
      <c r="F94" t="inlineStr">
        <is>
          <t>SKÅNE LÄN</t>
        </is>
      </c>
      <c r="G94" t="inlineStr">
        <is>
          <t>HÖÖR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63268-2023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45273</v>
      </c>
      <c r="E95" s="1" t="n">
        <v>46226</v>
      </c>
      <c r="F95" t="inlineStr">
        <is>
          <t>SKÅNE LÄN</t>
        </is>
      </c>
      <c r="G95" t="inlineStr">
        <is>
          <t>HÖÖR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45672</v>
      </c>
      <c r="E96" s="1" t="n">
        <v>46226</v>
      </c>
      <c r="F96" t="inlineStr">
        <is>
          <t>SKÅNE LÄN</t>
        </is>
      </c>
      <c r="G96" t="inlineStr">
        <is>
          <t>HÖÖR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21066-2023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45061</v>
      </c>
      <c r="E97" s="1" t="n">
        <v>46226</v>
      </c>
      <c r="F97" t="inlineStr">
        <is>
          <t>SKÅNE LÄN</t>
        </is>
      </c>
      <c r="G97" t="inlineStr">
        <is>
          <t>HÖÖR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46128</v>
      </c>
      <c r="E98" s="1" t="n">
        <v>46226</v>
      </c>
      <c r="F98" t="inlineStr">
        <is>
          <t>SKÅNE LÄN</t>
        </is>
      </c>
      <c r="G98" t="inlineStr">
        <is>
          <t>HÖÖR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45477</v>
      </c>
      <c r="E99" s="1" t="n">
        <v>46226</v>
      </c>
      <c r="F99" t="inlineStr">
        <is>
          <t>SKÅNE LÄN</t>
        </is>
      </c>
      <c r="G99" t="inlineStr">
        <is>
          <t>HÖÖR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17693-2026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46121</v>
      </c>
      <c r="E100" s="1" t="n">
        <v>46226</v>
      </c>
      <c r="F100" t="inlineStr">
        <is>
          <t>SKÅNE LÄN</t>
        </is>
      </c>
      <c r="G100" t="inlineStr">
        <is>
          <t>HÖÖR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45940</v>
      </c>
      <c r="E101" s="1" t="n">
        <v>46226</v>
      </c>
      <c r="F101" t="inlineStr">
        <is>
          <t>SKÅNE LÄN</t>
        </is>
      </c>
      <c r="G101" t="inlineStr">
        <is>
          <t>HÖÖR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15905-2024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45405</v>
      </c>
      <c r="E102" s="1" t="n">
        <v>46226</v>
      </c>
      <c r="F102" t="inlineStr">
        <is>
          <t>SKÅNE LÄN</t>
        </is>
      </c>
      <c r="G102" t="inlineStr">
        <is>
          <t>HÖÖR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28332-2024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45477</v>
      </c>
      <c r="E103" s="1" t="n">
        <v>46226</v>
      </c>
      <c r="F103" t="inlineStr">
        <is>
          <t>SKÅNE LÄN</t>
        </is>
      </c>
      <c r="G103" t="inlineStr">
        <is>
          <t>HÖÖR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45709</v>
      </c>
      <c r="E104" s="1" t="n">
        <v>46226</v>
      </c>
      <c r="F104" t="inlineStr">
        <is>
          <t>SKÅNE LÄN</t>
        </is>
      </c>
      <c r="G104" t="inlineStr">
        <is>
          <t>HÖÖR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20329-2026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46136</v>
      </c>
      <c r="E105" s="1" t="n">
        <v>46226</v>
      </c>
      <c r="F105" t="inlineStr">
        <is>
          <t>SKÅNE LÄN</t>
        </is>
      </c>
      <c r="G105" t="inlineStr">
        <is>
          <t>HÖÖR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20329-2026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46136</v>
      </c>
      <c r="E106" s="1" t="n">
        <v>46226</v>
      </c>
      <c r="F106" t="inlineStr">
        <is>
          <t>SKÅNE LÄN</t>
        </is>
      </c>
      <c r="G106" t="inlineStr">
        <is>
          <t>HÖÖR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6760-2024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45342</v>
      </c>
      <c r="E107" s="1" t="n">
        <v>46226</v>
      </c>
      <c r="F107" t="inlineStr">
        <is>
          <t>SKÅNE LÄN</t>
        </is>
      </c>
      <c r="G107" t="inlineStr">
        <is>
          <t>HÖÖR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45698</v>
      </c>
      <c r="E108" s="1" t="n">
        <v>46226</v>
      </c>
      <c r="F108" t="inlineStr">
        <is>
          <t>SKÅNE LÄN</t>
        </is>
      </c>
      <c r="G108" t="inlineStr">
        <is>
          <t>HÖÖR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8305-2026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46064</v>
      </c>
      <c r="E109" s="1" t="n">
        <v>46226</v>
      </c>
      <c r="F109" t="inlineStr">
        <is>
          <t>SKÅNE LÄN</t>
        </is>
      </c>
      <c r="G109" t="inlineStr">
        <is>
          <t>HÖÖR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29285-2025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45824</v>
      </c>
      <c r="E110" s="1" t="n">
        <v>46226</v>
      </c>
      <c r="F110" t="inlineStr">
        <is>
          <t>SKÅNE LÄN</t>
        </is>
      </c>
      <c r="G110" t="inlineStr">
        <is>
          <t>HÖÖR</t>
        </is>
      </c>
      <c r="I110" t="n">
        <v>8.199999999999999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28830-2025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46226</v>
      </c>
      <c r="F111" t="inlineStr">
        <is>
          <t>SKÅNE LÄN</t>
        </is>
      </c>
      <c r="G111" t="inlineStr">
        <is>
          <t>HÖÖR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46226</v>
      </c>
      <c r="F112" t="inlineStr">
        <is>
          <t>SKÅNE LÄN</t>
        </is>
      </c>
      <c r="G112" t="inlineStr">
        <is>
          <t>HÖÖR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45807</v>
      </c>
      <c r="E113" s="1" t="n">
        <v>46226</v>
      </c>
      <c r="F113" t="inlineStr">
        <is>
          <t>SKÅNE LÄN</t>
        </is>
      </c>
      <c r="G113" t="inlineStr">
        <is>
          <t>HÖÖR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46226</v>
      </c>
      <c r="F114" t="inlineStr">
        <is>
          <t>SKÅNE LÄN</t>
        </is>
      </c>
      <c r="G114" t="inlineStr">
        <is>
          <t>HÖÖR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46226</v>
      </c>
      <c r="F115" t="inlineStr">
        <is>
          <t>SKÅNE LÄN</t>
        </is>
      </c>
      <c r="G115" t="inlineStr">
        <is>
          <t>HÖÖR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46226</v>
      </c>
      <c r="F116" t="inlineStr">
        <is>
          <t>SKÅNE LÄN</t>
        </is>
      </c>
      <c r="G116" t="inlineStr">
        <is>
          <t>HÖÖR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62944-2025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46226</v>
      </c>
      <c r="F117" t="inlineStr">
        <is>
          <t>SKÅNE LÄN</t>
        </is>
      </c>
      <c r="G117" t="inlineStr">
        <is>
          <t>HÖÖR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45318</v>
      </c>
      <c r="E118" s="1" t="n">
        <v>46226</v>
      </c>
      <c r="F118" t="inlineStr">
        <is>
          <t>SKÅNE LÄN</t>
        </is>
      </c>
      <c r="G118" t="inlineStr">
        <is>
          <t>HÖÖR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46226</v>
      </c>
      <c r="F119" t="inlineStr">
        <is>
          <t>SKÅNE LÄN</t>
        </is>
      </c>
      <c r="G119" t="inlineStr">
        <is>
          <t>HÖÖR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26764-2023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46226</v>
      </c>
      <c r="F120" t="inlineStr">
        <is>
          <t>SKÅNE LÄN</t>
        </is>
      </c>
      <c r="G120" t="inlineStr">
        <is>
          <t>HÖÖR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45231</v>
      </c>
      <c r="E121" s="1" t="n">
        <v>46226</v>
      </c>
      <c r="F121" t="inlineStr">
        <is>
          <t>SKÅNE LÄN</t>
        </is>
      </c>
      <c r="G121" t="inlineStr">
        <is>
          <t>HÖÖR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10452-2023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44981</v>
      </c>
      <c r="E122" s="1" t="n">
        <v>46226</v>
      </c>
      <c r="F122" t="inlineStr">
        <is>
          <t>SKÅNE LÄN</t>
        </is>
      </c>
      <c r="G122" t="inlineStr">
        <is>
          <t>HÖÖR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45315</v>
      </c>
      <c r="E123" s="1" t="n">
        <v>46226</v>
      </c>
      <c r="F123" t="inlineStr">
        <is>
          <t>SKÅNE LÄN</t>
        </is>
      </c>
      <c r="G123" t="inlineStr">
        <is>
          <t>HÖÖR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46226</v>
      </c>
      <c r="F124" t="inlineStr">
        <is>
          <t>SKÅNE LÄN</t>
        </is>
      </c>
      <c r="G124" t="inlineStr">
        <is>
          <t>HÖÖR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45057</v>
      </c>
      <c r="E125" s="1" t="n">
        <v>46226</v>
      </c>
      <c r="F125" t="inlineStr">
        <is>
          <t>SKÅNE LÄN</t>
        </is>
      </c>
      <c r="G125" t="inlineStr">
        <is>
          <t>HÖÖR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61175-2025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46226</v>
      </c>
      <c r="F126" t="inlineStr">
        <is>
          <t>SKÅNE LÄN</t>
        </is>
      </c>
      <c r="G126" t="inlineStr">
        <is>
          <t>HÖÖR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43996-2022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44838</v>
      </c>
      <c r="E127" s="1" t="n">
        <v>46226</v>
      </c>
      <c r="F127" t="inlineStr">
        <is>
          <t>SKÅNE LÄN</t>
        </is>
      </c>
      <c r="G127" t="inlineStr">
        <is>
          <t>HÖÖR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45887</v>
      </c>
      <c r="E128" s="1" t="n">
        <v>46226</v>
      </c>
      <c r="F128" t="inlineStr">
        <is>
          <t>SKÅNE LÄN</t>
        </is>
      </c>
      <c r="G128" t="inlineStr">
        <is>
          <t>HÖÖR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47222-2022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44852</v>
      </c>
      <c r="E129" s="1" t="n">
        <v>46226</v>
      </c>
      <c r="F129" t="inlineStr">
        <is>
          <t>SKÅNE LÄN</t>
        </is>
      </c>
      <c r="G129" t="inlineStr">
        <is>
          <t>HÖÖR</t>
        </is>
      </c>
      <c r="I129" t="n">
        <v>12.3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21229-2026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46146</v>
      </c>
      <c r="E130" s="1" t="n">
        <v>46226</v>
      </c>
      <c r="F130" t="inlineStr">
        <is>
          <t>SKÅNE LÄN</t>
        </is>
      </c>
      <c r="G130" t="inlineStr">
        <is>
          <t>HÖÖR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4928-2022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44593</v>
      </c>
      <c r="E131" s="1" t="n">
        <v>46226</v>
      </c>
      <c r="F131" t="inlineStr">
        <is>
          <t>SKÅNE LÄN</t>
        </is>
      </c>
      <c r="G131" t="inlineStr">
        <is>
          <t>HÖÖR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19629-2025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45770</v>
      </c>
      <c r="E132" s="1" t="n">
        <v>46226</v>
      </c>
      <c r="F132" t="inlineStr">
        <is>
          <t>SKÅNE LÄN</t>
        </is>
      </c>
      <c r="G132" t="inlineStr">
        <is>
          <t>HÖÖR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46226</v>
      </c>
      <c r="F133" t="inlineStr">
        <is>
          <t>SKÅNE LÄN</t>
        </is>
      </c>
      <c r="G133" t="inlineStr">
        <is>
          <t>HÖÖR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54711-2024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45618</v>
      </c>
      <c r="E134" s="1" t="n">
        <v>46226</v>
      </c>
      <c r="F134" t="inlineStr">
        <is>
          <t>SKÅNE LÄN</t>
        </is>
      </c>
      <c r="G134" t="inlineStr">
        <is>
          <t>HÖÖR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56941-2025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45978</v>
      </c>
      <c r="E135" s="1" t="n">
        <v>46226</v>
      </c>
      <c r="F135" t="inlineStr">
        <is>
          <t>SKÅNE LÄN</t>
        </is>
      </c>
      <c r="G135" t="inlineStr">
        <is>
          <t>HÖÖR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46023</v>
      </c>
      <c r="E136" s="1" t="n">
        <v>46226</v>
      </c>
      <c r="F136" t="inlineStr">
        <is>
          <t>SKÅNE LÄN</t>
        </is>
      </c>
      <c r="G136" t="inlineStr">
        <is>
          <t>HÖÖR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46023</v>
      </c>
      <c r="E137" s="1" t="n">
        <v>46226</v>
      </c>
      <c r="F137" t="inlineStr">
        <is>
          <t>SKÅNE LÄN</t>
        </is>
      </c>
      <c r="G137" t="inlineStr">
        <is>
          <t>HÖÖR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27723-2026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46191</v>
      </c>
      <c r="E138" s="1" t="n">
        <v>46226</v>
      </c>
      <c r="F138" t="inlineStr">
        <is>
          <t>SKÅNE LÄN</t>
        </is>
      </c>
      <c r="G138" t="inlineStr">
        <is>
          <t>HÖÖR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51232-2025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46226</v>
      </c>
      <c r="F139" t="inlineStr">
        <is>
          <t>SKÅNE LÄN</t>
        </is>
      </c>
      <c r="G139" t="inlineStr">
        <is>
          <t>HÖÖR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45092-2024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45575</v>
      </c>
      <c r="E140" s="1" t="n">
        <v>46226</v>
      </c>
      <c r="F140" t="inlineStr">
        <is>
          <t>SKÅNE LÄN</t>
        </is>
      </c>
      <c r="G140" t="inlineStr">
        <is>
          <t>HÖÖR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3182-2026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46041</v>
      </c>
      <c r="E141" s="1" t="n">
        <v>46226</v>
      </c>
      <c r="F141" t="inlineStr">
        <is>
          <t>SKÅNE LÄN</t>
        </is>
      </c>
      <c r="G141" t="inlineStr">
        <is>
          <t>HÖÖR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2852-2026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46226</v>
      </c>
      <c r="F142" t="inlineStr">
        <is>
          <t>SKÅNE LÄN</t>
        </is>
      </c>
      <c r="G142" t="inlineStr">
        <is>
          <t>HÖÖR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22514-2026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46155</v>
      </c>
      <c r="E143" s="1" t="n">
        <v>46226</v>
      </c>
      <c r="F143" t="inlineStr">
        <is>
          <t>SKÅNE LÄN</t>
        </is>
      </c>
      <c r="G143" t="inlineStr">
        <is>
          <t>HÖÖR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57428-2023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45240</v>
      </c>
      <c r="E144" s="1" t="n">
        <v>46226</v>
      </c>
      <c r="F144" t="inlineStr">
        <is>
          <t>SKÅNE LÄN</t>
        </is>
      </c>
      <c r="G144" t="inlineStr">
        <is>
          <t>HÖÖR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27368-2026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46184</v>
      </c>
      <c r="E145" s="1" t="n">
        <v>46226</v>
      </c>
      <c r="F145" t="inlineStr">
        <is>
          <t>SKÅNE LÄN</t>
        </is>
      </c>
      <c r="G145" t="inlineStr">
        <is>
          <t>HÖÖR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40595-2021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44420</v>
      </c>
      <c r="E146" s="1" t="n">
        <v>46226</v>
      </c>
      <c r="F146" t="inlineStr">
        <is>
          <t>SKÅNE LÄN</t>
        </is>
      </c>
      <c r="G146" t="inlineStr">
        <is>
          <t>HÖÖR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46226</v>
      </c>
      <c r="F147" t="inlineStr">
        <is>
          <t>SKÅNE LÄN</t>
        </is>
      </c>
      <c r="G147" t="inlineStr">
        <is>
          <t>HÖÖR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28849-2026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46198</v>
      </c>
      <c r="E148" s="1" t="n">
        <v>46226</v>
      </c>
      <c r="F148" t="inlineStr">
        <is>
          <t>SKÅNE LÄN</t>
        </is>
      </c>
      <c r="G148" t="inlineStr">
        <is>
          <t>HÖÖR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41623-2023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45175</v>
      </c>
      <c r="E149" s="1" t="n">
        <v>46226</v>
      </c>
      <c r="F149" t="inlineStr">
        <is>
          <t>SKÅNE LÄN</t>
        </is>
      </c>
      <c r="G149" t="inlineStr">
        <is>
          <t>HÖÖR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37074-2024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45539</v>
      </c>
      <c r="E150" s="1" t="n">
        <v>46226</v>
      </c>
      <c r="F150" t="inlineStr">
        <is>
          <t>SKÅNE LÄN</t>
        </is>
      </c>
      <c r="G150" t="inlineStr">
        <is>
          <t>HÖÖR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45322</v>
      </c>
      <c r="E151" s="1" t="n">
        <v>46226</v>
      </c>
      <c r="F151" t="inlineStr">
        <is>
          <t>SKÅNE LÄN</t>
        </is>
      </c>
      <c r="G151" t="inlineStr">
        <is>
          <t>HÖÖR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20381-2025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45775</v>
      </c>
      <c r="E152" s="1" t="n">
        <v>46226</v>
      </c>
      <c r="F152" t="inlineStr">
        <is>
          <t>SKÅNE LÄN</t>
        </is>
      </c>
      <c r="G152" t="inlineStr">
        <is>
          <t>HÖÖR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53460-2022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44879</v>
      </c>
      <c r="E153" s="1" t="n">
        <v>46226</v>
      </c>
      <c r="F153" t="inlineStr">
        <is>
          <t>SKÅNE LÄN</t>
        </is>
      </c>
      <c r="G153" t="inlineStr">
        <is>
          <t>HÖÖR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22966-2026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46160</v>
      </c>
      <c r="E154" s="1" t="n">
        <v>46226</v>
      </c>
      <c r="F154" t="inlineStr">
        <is>
          <t>SKÅNE LÄN</t>
        </is>
      </c>
      <c r="G154" t="inlineStr">
        <is>
          <t>HÖÖR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46160</v>
      </c>
      <c r="E155" s="1" t="n">
        <v>46226</v>
      </c>
      <c r="F155" t="inlineStr">
        <is>
          <t>SKÅNE LÄN</t>
        </is>
      </c>
      <c r="G155" t="inlineStr">
        <is>
          <t>HÖÖR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53807-2023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45231</v>
      </c>
      <c r="E156" s="1" t="n">
        <v>46226</v>
      </c>
      <c r="F156" t="inlineStr">
        <is>
          <t>SKÅNE LÄN</t>
        </is>
      </c>
      <c r="G156" t="inlineStr">
        <is>
          <t>HÖÖR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29867-2026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46205</v>
      </c>
      <c r="E157" s="1" t="n">
        <v>46226</v>
      </c>
      <c r="F157" t="inlineStr">
        <is>
          <t>SKÅNE LÄN</t>
        </is>
      </c>
      <c r="G157" t="inlineStr">
        <is>
          <t>HÖÖR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45574</v>
      </c>
      <c r="E158" s="1" t="n">
        <v>46226</v>
      </c>
      <c r="F158" t="inlineStr">
        <is>
          <t>SKÅNE LÄN</t>
        </is>
      </c>
      <c r="G158" t="inlineStr">
        <is>
          <t>HÖÖR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26033-2022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44734</v>
      </c>
      <c r="E159" s="1" t="n">
        <v>46226</v>
      </c>
      <c r="F159" t="inlineStr">
        <is>
          <t>SKÅNE LÄN</t>
        </is>
      </c>
      <c r="G159" t="inlineStr">
        <is>
          <t>HÖÖR</t>
        </is>
      </c>
      <c r="H159" t="inlineStr">
        <is>
          <t>Övriga statliga verk och myndigheter</t>
        </is>
      </c>
      <c r="I159" t="n">
        <v>9.300000000000001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45748</v>
      </c>
      <c r="E160" s="1" t="n">
        <v>46226</v>
      </c>
      <c r="F160" t="inlineStr">
        <is>
          <t>SKÅNE LÄN</t>
        </is>
      </c>
      <c r="G160" t="inlineStr">
        <is>
          <t>HÖÖR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30339-2026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46209</v>
      </c>
      <c r="E161" s="1" t="n">
        <v>46226</v>
      </c>
      <c r="F161" t="inlineStr">
        <is>
          <t>SKÅNE LÄN</t>
        </is>
      </c>
      <c r="G161" t="inlineStr">
        <is>
          <t>HÖÖR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7306-2023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44970</v>
      </c>
      <c r="E162" s="1" t="n">
        <v>46226</v>
      </c>
      <c r="F162" t="inlineStr">
        <is>
          <t>SKÅNE LÄN</t>
        </is>
      </c>
      <c r="G162" t="inlineStr">
        <is>
          <t>HÖÖR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18345-2022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44685</v>
      </c>
      <c r="E163" s="1" t="n">
        <v>46226</v>
      </c>
      <c r="F163" t="inlineStr">
        <is>
          <t>SKÅNE LÄN</t>
        </is>
      </c>
      <c r="G163" t="inlineStr">
        <is>
          <t>HÖÖR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36211-2024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45534</v>
      </c>
      <c r="E164" s="1" t="n">
        <v>46226</v>
      </c>
      <c r="F164" t="inlineStr">
        <is>
          <t>SKÅNE LÄN</t>
        </is>
      </c>
      <c r="G164" t="inlineStr">
        <is>
          <t>HÖÖR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43891-2022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44838</v>
      </c>
      <c r="E165" s="1" t="n">
        <v>46226</v>
      </c>
      <c r="F165" t="inlineStr">
        <is>
          <t>SKÅNE LÄN</t>
        </is>
      </c>
      <c r="G165" t="inlineStr">
        <is>
          <t>HÖÖR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57461-2022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44896</v>
      </c>
      <c r="E166" s="1" t="n">
        <v>46226</v>
      </c>
      <c r="F166" t="inlineStr">
        <is>
          <t>SKÅNE LÄN</t>
        </is>
      </c>
      <c r="G166" t="inlineStr">
        <is>
          <t>HÖÖR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51235-2025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46226</v>
      </c>
      <c r="F167" t="inlineStr">
        <is>
          <t>SKÅNE LÄN</t>
        </is>
      </c>
      <c r="G167" t="inlineStr">
        <is>
          <t>HÖÖR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46226</v>
      </c>
      <c r="F168" t="inlineStr">
        <is>
          <t>SKÅNE LÄN</t>
        </is>
      </c>
      <c r="G168" t="inlineStr">
        <is>
          <t>HÖÖR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65200-2021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44515</v>
      </c>
      <c r="E169" s="1" t="n">
        <v>46226</v>
      </c>
      <c r="F169" t="inlineStr">
        <is>
          <t>SKÅNE LÄN</t>
        </is>
      </c>
      <c r="G169" t="inlineStr">
        <is>
          <t>HÖÖR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45741</v>
      </c>
      <c r="E170" s="1" t="n">
        <v>46226</v>
      </c>
      <c r="F170" t="inlineStr">
        <is>
          <t>SKÅNE LÄN</t>
        </is>
      </c>
      <c r="G170" t="inlineStr">
        <is>
          <t>HÖÖR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46197</v>
      </c>
      <c r="E171" s="1" t="n">
        <v>46226</v>
      </c>
      <c r="F171" t="inlineStr">
        <is>
          <t>SKÅNE LÄN</t>
        </is>
      </c>
      <c r="G171" t="inlineStr">
        <is>
          <t>HÖÖR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25795-2026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46226</v>
      </c>
      <c r="F172" t="inlineStr">
        <is>
          <t>SKÅNE LÄN</t>
        </is>
      </c>
      <c r="G172" t="inlineStr">
        <is>
          <t>HÖÖR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25934-2022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44734</v>
      </c>
      <c r="E173" s="1" t="n">
        <v>46226</v>
      </c>
      <c r="F173" t="inlineStr">
        <is>
          <t>SKÅNE LÄN</t>
        </is>
      </c>
      <c r="G173" t="inlineStr">
        <is>
          <t>HÖÖR</t>
        </is>
      </c>
      <c r="H173" t="inlineStr">
        <is>
          <t>Övriga statliga verk och myndigheter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28223-2026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46196</v>
      </c>
      <c r="E174" s="1" t="n">
        <v>46226</v>
      </c>
      <c r="F174" t="inlineStr">
        <is>
          <t>SKÅNE LÄN</t>
        </is>
      </c>
      <c r="G174" t="inlineStr">
        <is>
          <t>HÖÖR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25559-2026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46177</v>
      </c>
      <c r="E175" s="1" t="n">
        <v>46226</v>
      </c>
      <c r="F175" t="inlineStr">
        <is>
          <t>SKÅNE LÄN</t>
        </is>
      </c>
      <c r="G175" t="inlineStr">
        <is>
          <t>HÖÖR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6440-2024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45338</v>
      </c>
      <c r="E176" s="1" t="n">
        <v>46226</v>
      </c>
      <c r="F176" t="inlineStr">
        <is>
          <t>SKÅNE LÄN</t>
        </is>
      </c>
      <c r="G176" t="inlineStr">
        <is>
          <t>HÖÖR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56596-2022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46226</v>
      </c>
      <c r="F177" t="inlineStr">
        <is>
          <t>SKÅNE LÄN</t>
        </is>
      </c>
      <c r="G177" t="inlineStr">
        <is>
          <t>HÖÖR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44672</v>
      </c>
      <c r="E178" s="1" t="n">
        <v>46226</v>
      </c>
      <c r="F178" t="inlineStr">
        <is>
          <t>SKÅNE LÄN</t>
        </is>
      </c>
      <c r="G178" t="inlineStr">
        <is>
          <t>HÖÖR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6941-2024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45343</v>
      </c>
      <c r="E179" s="1" t="n">
        <v>46226</v>
      </c>
      <c r="F179" t="inlineStr">
        <is>
          <t>SKÅNE LÄN</t>
        </is>
      </c>
      <c r="G179" t="inlineStr">
        <is>
          <t>HÖÖR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45343</v>
      </c>
      <c r="E180" s="1" t="n">
        <v>46226</v>
      </c>
      <c r="F180" t="inlineStr">
        <is>
          <t>SKÅNE LÄN</t>
        </is>
      </c>
      <c r="G180" t="inlineStr">
        <is>
          <t>HÖÖR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45315</v>
      </c>
      <c r="E181" s="1" t="n">
        <v>46226</v>
      </c>
      <c r="F181" t="inlineStr">
        <is>
          <t>SKÅNE LÄN</t>
        </is>
      </c>
      <c r="G181" t="inlineStr">
        <is>
          <t>HÖÖR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14849-2024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45398</v>
      </c>
      <c r="E182" s="1" t="n">
        <v>46226</v>
      </c>
      <c r="F182" t="inlineStr">
        <is>
          <t>SKÅNE LÄN</t>
        </is>
      </c>
      <c r="G182" t="inlineStr">
        <is>
          <t>HÖÖR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13432-2023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45005</v>
      </c>
      <c r="E183" s="1" t="n">
        <v>46226</v>
      </c>
      <c r="F183" t="inlineStr">
        <is>
          <t>SKÅNE LÄN</t>
        </is>
      </c>
      <c r="G183" t="inlineStr">
        <is>
          <t>HÖÖR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63139-2023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45273</v>
      </c>
      <c r="E184" s="1" t="n">
        <v>46226</v>
      </c>
      <c r="F184" t="inlineStr">
        <is>
          <t>SKÅNE LÄN</t>
        </is>
      </c>
      <c r="G184" t="inlineStr">
        <is>
          <t>HÖÖR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44594</v>
      </c>
      <c r="E185" s="1" t="n">
        <v>46226</v>
      </c>
      <c r="F185" t="inlineStr">
        <is>
          <t>SKÅNE LÄN</t>
        </is>
      </c>
      <c r="G185" t="inlineStr">
        <is>
          <t>HÖÖR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53455-2022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44874</v>
      </c>
      <c r="E186" s="1" t="n">
        <v>46226</v>
      </c>
      <c r="F186" t="inlineStr">
        <is>
          <t>SKÅNE LÄN</t>
        </is>
      </c>
      <c r="G186" t="inlineStr">
        <is>
          <t>HÖÖR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44908</v>
      </c>
      <c r="E187" s="1" t="n">
        <v>46226</v>
      </c>
      <c r="F187" t="inlineStr">
        <is>
          <t>SKÅNE LÄN</t>
        </is>
      </c>
      <c r="G187" t="inlineStr">
        <is>
          <t>HÖÖR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16969-2025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45755</v>
      </c>
      <c r="E188" s="1" t="n">
        <v>46226</v>
      </c>
      <c r="F188" t="inlineStr">
        <is>
          <t>SKÅNE LÄN</t>
        </is>
      </c>
      <c r="G188" t="inlineStr">
        <is>
          <t>HÖÖR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43871-2022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44838</v>
      </c>
      <c r="E189" s="1" t="n">
        <v>46226</v>
      </c>
      <c r="F189" t="inlineStr">
        <is>
          <t>SKÅNE LÄN</t>
        </is>
      </c>
      <c r="G189" t="inlineStr">
        <is>
          <t>HÖÖR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43884-2022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44838</v>
      </c>
      <c r="E190" s="1" t="n">
        <v>46226</v>
      </c>
      <c r="F190" t="inlineStr">
        <is>
          <t>SKÅNE LÄN</t>
        </is>
      </c>
      <c r="G190" t="inlineStr">
        <is>
          <t>HÖÖR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45349-2023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45191</v>
      </c>
      <c r="E191" s="1" t="n">
        <v>46226</v>
      </c>
      <c r="F191" t="inlineStr">
        <is>
          <t>SKÅNE LÄN</t>
        </is>
      </c>
      <c r="G191" t="inlineStr">
        <is>
          <t>HÖÖR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45154</v>
      </c>
      <c r="E192" s="1" t="n">
        <v>46226</v>
      </c>
      <c r="F192" t="inlineStr">
        <is>
          <t>SKÅNE LÄN</t>
        </is>
      </c>
      <c r="G192" t="inlineStr">
        <is>
          <t>HÖÖR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50196-2022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44860</v>
      </c>
      <c r="E193" s="1" t="n">
        <v>46226</v>
      </c>
      <c r="F193" t="inlineStr">
        <is>
          <t>SKÅNE LÄN</t>
        </is>
      </c>
      <c r="G193" t="inlineStr">
        <is>
          <t>HÖÖR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45113</v>
      </c>
      <c r="E194" s="1" t="n">
        <v>46226</v>
      </c>
      <c r="F194" t="inlineStr">
        <is>
          <t>SKÅNE LÄN</t>
        </is>
      </c>
      <c r="G194" t="inlineStr">
        <is>
          <t>HÖÖR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45216</v>
      </c>
      <c r="E195" s="1" t="n">
        <v>46226</v>
      </c>
      <c r="F195" t="inlineStr">
        <is>
          <t>SKÅNE LÄN</t>
        </is>
      </c>
      <c r="G195" t="inlineStr">
        <is>
          <t>HÖÖR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45216</v>
      </c>
      <c r="E196" s="1" t="n">
        <v>46226</v>
      </c>
      <c r="F196" t="inlineStr">
        <is>
          <t>SKÅNE LÄN</t>
        </is>
      </c>
      <c r="G196" t="inlineStr">
        <is>
          <t>HÖÖR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45450</v>
      </c>
      <c r="E197" s="1" t="n">
        <v>46226</v>
      </c>
      <c r="F197" t="inlineStr">
        <is>
          <t>SKÅNE LÄN</t>
        </is>
      </c>
      <c r="G197" t="inlineStr">
        <is>
          <t>HÖÖR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45477</v>
      </c>
      <c r="E198" s="1" t="n">
        <v>46226</v>
      </c>
      <c r="F198" t="inlineStr">
        <is>
          <t>SKÅNE LÄN</t>
        </is>
      </c>
      <c r="G198" t="inlineStr">
        <is>
          <t>HÖÖR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34704-2024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45526</v>
      </c>
      <c r="E199" s="1" t="n">
        <v>46226</v>
      </c>
      <c r="F199" t="inlineStr">
        <is>
          <t>SKÅNE LÄN</t>
        </is>
      </c>
      <c r="G199" t="inlineStr">
        <is>
          <t>HÖÖR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45001</v>
      </c>
      <c r="E200" s="1" t="n">
        <v>46226</v>
      </c>
      <c r="F200" t="inlineStr">
        <is>
          <t>SKÅNE LÄN</t>
        </is>
      </c>
      <c r="G200" t="inlineStr">
        <is>
          <t>HÖÖR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37082-2024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45539</v>
      </c>
      <c r="E201" s="1" t="n">
        <v>46226</v>
      </c>
      <c r="F201" t="inlineStr">
        <is>
          <t>SKÅNE LÄN</t>
        </is>
      </c>
      <c r="G201" t="inlineStr">
        <is>
          <t>HÖÖR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19633-2023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45051</v>
      </c>
      <c r="E202" s="1" t="n">
        <v>46226</v>
      </c>
      <c r="F202" t="inlineStr">
        <is>
          <t>SKÅNE LÄN</t>
        </is>
      </c>
      <c r="G202" t="inlineStr">
        <is>
          <t>HÖÖR</t>
        </is>
      </c>
      <c r="H202" t="inlineStr">
        <is>
          <t>Sveaskog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45685</v>
      </c>
      <c r="E203" s="1" t="n">
        <v>46226</v>
      </c>
      <c r="F203" t="inlineStr">
        <is>
          <t>SKÅNE LÄN</t>
        </is>
      </c>
      <c r="G203" t="inlineStr">
        <is>
          <t>HÖÖR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45700</v>
      </c>
      <c r="E204" s="1" t="n">
        <v>46226</v>
      </c>
      <c r="F204" t="inlineStr">
        <is>
          <t>SKÅNE LÄN</t>
        </is>
      </c>
      <c r="G204" t="inlineStr">
        <is>
          <t>HÖÖR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61011-2023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45261</v>
      </c>
      <c r="E205" s="1" t="n">
        <v>46226</v>
      </c>
      <c r="F205" t="inlineStr">
        <is>
          <t>SKÅNE LÄN</t>
        </is>
      </c>
      <c r="G205" t="inlineStr">
        <is>
          <t>HÖÖR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18246-2023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45041</v>
      </c>
      <c r="E206" s="1" t="n">
        <v>46226</v>
      </c>
      <c r="F206" t="inlineStr">
        <is>
          <t>SKÅNE LÄN</t>
        </is>
      </c>
      <c r="G206" t="inlineStr">
        <is>
          <t>HÖÖR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45327</v>
      </c>
      <c r="E207" s="1" t="n">
        <v>46226</v>
      </c>
      <c r="F207" t="inlineStr">
        <is>
          <t>SKÅNE LÄN</t>
        </is>
      </c>
      <c r="G207" t="inlineStr">
        <is>
          <t>HÖÖR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56231-2022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44890</v>
      </c>
      <c r="E208" s="1" t="n">
        <v>46226</v>
      </c>
      <c r="F208" t="inlineStr">
        <is>
          <t>SKÅNE LÄN</t>
        </is>
      </c>
      <c r="G208" t="inlineStr">
        <is>
          <t>HÖÖR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9701-2023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44984</v>
      </c>
      <c r="E209" s="1" t="n">
        <v>46226</v>
      </c>
      <c r="F209" t="inlineStr">
        <is>
          <t>SKÅNE LÄN</t>
        </is>
      </c>
      <c r="G209" t="inlineStr">
        <is>
          <t>HÖÖR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7782-2022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44608</v>
      </c>
      <c r="E210" s="1" t="n">
        <v>46226</v>
      </c>
      <c r="F210" t="inlineStr">
        <is>
          <t>SKÅNE LÄN</t>
        </is>
      </c>
      <c r="G210" t="inlineStr">
        <is>
          <t>HÖÖR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44739-2024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45574</v>
      </c>
      <c r="E211" s="1" t="n">
        <v>46226</v>
      </c>
      <c r="F211" t="inlineStr">
        <is>
          <t>SKÅNE LÄN</t>
        </is>
      </c>
      <c r="G211" t="inlineStr">
        <is>
          <t>HÖÖR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45728</v>
      </c>
      <c r="E212" s="1" t="n">
        <v>46226</v>
      </c>
      <c r="F212" t="inlineStr">
        <is>
          <t>SKÅNE LÄN</t>
        </is>
      </c>
      <c r="G212" t="inlineStr">
        <is>
          <t>HÖÖR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45236</v>
      </c>
      <c r="E213" s="1" t="n">
        <v>46226</v>
      </c>
      <c r="F213" t="inlineStr">
        <is>
          <t>SKÅNE LÄN</t>
        </is>
      </c>
      <c r="G213" t="inlineStr">
        <is>
          <t>HÖÖR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43469-2024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45568</v>
      </c>
      <c r="E214" s="1" t="n">
        <v>46226</v>
      </c>
      <c r="F214" t="inlineStr">
        <is>
          <t>SKÅNE LÄN</t>
        </is>
      </c>
      <c r="G214" t="inlineStr">
        <is>
          <t>HÖÖR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73544-2021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44551</v>
      </c>
      <c r="E215" s="1" t="n">
        <v>46226</v>
      </c>
      <c r="F215" t="inlineStr">
        <is>
          <t>SKÅNE LÄN</t>
        </is>
      </c>
      <c r="G215" t="inlineStr">
        <is>
          <t>HÖÖR</t>
        </is>
      </c>
      <c r="H215" t="inlineStr">
        <is>
          <t>Övriga statliga verk och myndigheter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50250-2024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46226</v>
      </c>
      <c r="F216" t="inlineStr">
        <is>
          <t>SKÅNE LÄN</t>
        </is>
      </c>
      <c r="G216" t="inlineStr">
        <is>
          <t>HÖÖR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45715</v>
      </c>
      <c r="E217" s="1" t="n">
        <v>46226</v>
      </c>
      <c r="F217" t="inlineStr">
        <is>
          <t>SKÅNE LÄN</t>
        </is>
      </c>
      <c r="G217" t="inlineStr">
        <is>
          <t>HÖÖR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46226</v>
      </c>
      <c r="F218" t="inlineStr">
        <is>
          <t>SKÅNE LÄN</t>
        </is>
      </c>
      <c r="G218" t="inlineStr">
        <is>
          <t>HÖÖR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23116-2025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45791</v>
      </c>
      <c r="E219" s="1" t="n">
        <v>46226</v>
      </c>
      <c r="F219" t="inlineStr">
        <is>
          <t>SKÅNE LÄN</t>
        </is>
      </c>
      <c r="G219" t="inlineStr">
        <is>
          <t>HÖÖR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61019-2024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45645</v>
      </c>
      <c r="E220" s="1" t="n">
        <v>46226</v>
      </c>
      <c r="F220" t="inlineStr">
        <is>
          <t>SKÅNE LÄN</t>
        </is>
      </c>
      <c r="G220" t="inlineStr">
        <is>
          <t>HÖÖR</t>
        </is>
      </c>
      <c r="H220" t="inlineStr">
        <is>
          <t>Kommuner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27251-2024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45471</v>
      </c>
      <c r="E221" s="1" t="n">
        <v>46226</v>
      </c>
      <c r="F221" t="inlineStr">
        <is>
          <t>SKÅNE LÄN</t>
        </is>
      </c>
      <c r="G221" t="inlineStr">
        <is>
          <t>HÖÖR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48921-2024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46226</v>
      </c>
      <c r="F222" t="inlineStr">
        <is>
          <t>SKÅNE LÄN</t>
        </is>
      </c>
      <c r="G222" t="inlineStr">
        <is>
          <t>HÖÖR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48909-2024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46226</v>
      </c>
      <c r="F223" t="inlineStr">
        <is>
          <t>SKÅNE LÄN</t>
        </is>
      </c>
      <c r="G223" t="inlineStr">
        <is>
          <t>HÖÖR</t>
        </is>
      </c>
      <c r="I223" t="n">
        <v>28.4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52281-2024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45608</v>
      </c>
      <c r="E224" s="1" t="n">
        <v>46226</v>
      </c>
      <c r="F224" t="inlineStr">
        <is>
          <t>SKÅNE LÄN</t>
        </is>
      </c>
      <c r="G224" t="inlineStr">
        <is>
          <t>HÖÖR</t>
        </is>
      </c>
      <c r="I224" t="n">
        <v>12.3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51131-2021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44461</v>
      </c>
      <c r="E225" s="1" t="n">
        <v>46226</v>
      </c>
      <c r="F225" t="inlineStr">
        <is>
          <t>SKÅNE LÄN</t>
        </is>
      </c>
      <c r="G225" t="inlineStr">
        <is>
          <t>HÖÖR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60425-2022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44911</v>
      </c>
      <c r="E226" s="1" t="n">
        <v>46226</v>
      </c>
      <c r="F226" t="inlineStr">
        <is>
          <t>SKÅNE LÄN</t>
        </is>
      </c>
      <c r="G226" t="inlineStr">
        <is>
          <t>HÖÖR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61087-2022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44915</v>
      </c>
      <c r="E227" s="1" t="n">
        <v>46226</v>
      </c>
      <c r="F227" t="inlineStr">
        <is>
          <t>SKÅNE LÄN</t>
        </is>
      </c>
      <c r="G227" t="inlineStr">
        <is>
          <t>HÖÖR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45804</v>
      </c>
      <c r="E228" s="1" t="n">
        <v>46226</v>
      </c>
      <c r="F228" t="inlineStr">
        <is>
          <t>SKÅNE LÄN</t>
        </is>
      </c>
      <c r="G228" t="inlineStr">
        <is>
          <t>HÖÖR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28189-2024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45477</v>
      </c>
      <c r="E229" s="1" t="n">
        <v>46226</v>
      </c>
      <c r="F229" t="inlineStr">
        <is>
          <t>SKÅNE LÄN</t>
        </is>
      </c>
      <c r="G229" t="inlineStr">
        <is>
          <t>HÖÖR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45807</v>
      </c>
      <c r="E230" s="1" t="n">
        <v>46226</v>
      </c>
      <c r="F230" t="inlineStr">
        <is>
          <t>SKÅNE LÄN</t>
        </is>
      </c>
      <c r="G230" t="inlineStr">
        <is>
          <t>HÖÖR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2442-2022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44691</v>
      </c>
      <c r="E231" s="1" t="n">
        <v>46226</v>
      </c>
      <c r="F231" t="inlineStr">
        <is>
          <t>SKÅNE LÄN</t>
        </is>
      </c>
      <c r="G231" t="inlineStr">
        <is>
          <t>HÖÖR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4383-2023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45265</v>
      </c>
      <c r="E232" s="1" t="n">
        <v>46226</v>
      </c>
      <c r="F232" t="inlineStr">
        <is>
          <t>SKÅNE LÄN</t>
        </is>
      </c>
      <c r="G232" t="inlineStr">
        <is>
          <t>HÖÖR</t>
        </is>
      </c>
      <c r="I232" t="n">
        <v>18.9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8937-2021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44509</v>
      </c>
      <c r="E233" s="1" t="n">
        <v>46226</v>
      </c>
      <c r="F233" t="inlineStr">
        <is>
          <t>SKÅNE LÄN</t>
        </is>
      </c>
      <c r="G233" t="inlineStr">
        <is>
          <t>HÖÖR</t>
        </is>
      </c>
      <c r="I233" t="n">
        <v>35.9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3693-2023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45218</v>
      </c>
      <c r="E234" s="1" t="n">
        <v>46226</v>
      </c>
      <c r="F234" t="inlineStr">
        <is>
          <t>SKÅNE LÄN</t>
        </is>
      </c>
      <c r="G234" t="inlineStr">
        <is>
          <t>HÖÖR</t>
        </is>
      </c>
      <c r="I234" t="n">
        <v>35.7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221-2025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45680</v>
      </c>
      <c r="E235" s="1" t="n">
        <v>46226</v>
      </c>
      <c r="F235" t="inlineStr">
        <is>
          <t>SKÅNE LÄN</t>
        </is>
      </c>
      <c r="G235" t="inlineStr">
        <is>
          <t>HÖÖR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3468-2024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45539</v>
      </c>
      <c r="E236" s="1" t="n">
        <v>46226</v>
      </c>
      <c r="F236" t="inlineStr">
        <is>
          <t>SKÅNE LÄN</t>
        </is>
      </c>
      <c r="G236" t="inlineStr">
        <is>
          <t>HÖÖR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2441-2023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45114</v>
      </c>
      <c r="E237" s="1" t="n">
        <v>46226</v>
      </c>
      <c r="F237" t="inlineStr">
        <is>
          <t>SKÅNE LÄN</t>
        </is>
      </c>
      <c r="G237" t="inlineStr">
        <is>
          <t>HÖÖR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3794-2024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45558</v>
      </c>
      <c r="E238" s="1" t="n">
        <v>46226</v>
      </c>
      <c r="F238" t="inlineStr">
        <is>
          <t>SKÅNE LÄN</t>
        </is>
      </c>
      <c r="G238" t="inlineStr">
        <is>
          <t>HÖÖR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45729</v>
      </c>
      <c r="E239" s="1" t="n">
        <v>46226</v>
      </c>
      <c r="F239" t="inlineStr">
        <is>
          <t>SKÅNE LÄN</t>
        </is>
      </c>
      <c r="G239" t="inlineStr">
        <is>
          <t>HÖÖR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310-2025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45688</v>
      </c>
      <c r="E240" s="1" t="n">
        <v>46226</v>
      </c>
      <c r="F240" t="inlineStr">
        <is>
          <t>SKÅNE LÄN</t>
        </is>
      </c>
      <c r="G240" t="inlineStr">
        <is>
          <t>HÖÖR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1522-2025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45791</v>
      </c>
      <c r="E241" s="1" t="n">
        <v>46226</v>
      </c>
      <c r="F241" t="inlineStr">
        <is>
          <t>SKÅNE LÄN</t>
        </is>
      </c>
      <c r="G241" t="inlineStr">
        <is>
          <t>HÖÖR</t>
        </is>
      </c>
      <c r="I241" t="n">
        <v>30.6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1063-2026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46127</v>
      </c>
      <c r="E242" s="1" t="n">
        <v>46226</v>
      </c>
      <c r="F242" t="inlineStr">
        <is>
          <t>SKÅNE LÄN</t>
        </is>
      </c>
      <c r="G242" t="inlineStr">
        <is>
          <t>HÖÖR</t>
        </is>
      </c>
      <c r="I242" t="n">
        <v>23.5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1492-2026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46162</v>
      </c>
      <c r="E243" s="1" t="n">
        <v>46226</v>
      </c>
      <c r="F243" t="inlineStr">
        <is>
          <t>SKÅNE LÄN</t>
        </is>
      </c>
      <c r="G243" t="inlineStr">
        <is>
          <t>HÖÖR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2026-07-23T01:42:50Z</dcterms:created>
  <dcterms:modified xmlns:dcterms="http://purl.org/dc/terms/" xmlns:xsi="http://www.w3.org/2001/XMLSchema-instance" xsi:type="dcterms:W3CDTF">2026-07-23T01:42:51Z</dcterms:modified>
</cp:coreProperties>
</file>