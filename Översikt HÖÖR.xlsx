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46323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46323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46323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46323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46323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46323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46323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46323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46323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46323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46323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46323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46323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46323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46323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46323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46323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46323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46323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38317-2026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46323</v>
      </c>
      <c r="F22" t="inlineStr">
        <is>
          <t>SKÅNE LÄN</t>
        </is>
      </c>
      <c r="G22" t="inlineStr">
        <is>
          <t>HÖÖR</t>
        </is>
      </c>
      <c r="I22" t="n">
        <v>1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Småvänderot
Gullpudra</t>
        </is>
      </c>
      <c r="W22">
        <f>HYPERLINK("https://klasma.github.io/Logging_1267/artfynd/A 38317-2026 artfynd.xlsx", "A 38317-2026")</f>
        <v/>
      </c>
      <c r="X22">
        <f>HYPERLINK("https://klasma.github.io/Logging_1267/kartor/A 38317-2026 karta.png", "A 38317-2026")</f>
        <v/>
      </c>
      <c r="Y22">
        <f>HYPERLINK("https://klasma.github.io/Logging_1267/kartor_geotiff/A 38317-2026 georefererad karta.tif", "A 38317-2026")</f>
        <v/>
      </c>
      <c r="AA22">
        <f>HYPERLINK("https://klasma.github.io/Logging_1267/klagomål/A 38317-2026 FSC-klagomål.docx", "A 38317-2026")</f>
        <v/>
      </c>
      <c r="AB22">
        <f>HYPERLINK("https://klasma.github.io/Logging_1267/klagomålsmail/A 38317-2026 FSC-klagomål mail.docx", "A 38317-2026")</f>
        <v/>
      </c>
      <c r="AC22">
        <f>HYPERLINK("https://klasma.github.io/Logging_1267/tillsyn/A 38317-2026 tillsynsbegäran.docx", "A 38317-2026")</f>
        <v/>
      </c>
      <c r="AD22">
        <f>HYPERLINK("https://klasma.github.io/Logging_1267/tillsynsmail/A 38317-2026 tillsynsbegäran mail.docx", "A 38317-2026")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46323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46323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46323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46323</v>
      </c>
      <c r="F26" t="inlineStr">
        <is>
          <t>SKÅNE LÄN</t>
        </is>
      </c>
      <c r="G26" t="inlineStr">
        <is>
          <t>HÖÖR</t>
        </is>
      </c>
      <c r="I26" t="n">
        <v>8.300000000000001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46323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46323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46323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13429-2023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45005</v>
      </c>
      <c r="E30" s="1" t="n">
        <v>46323</v>
      </c>
      <c r="F30" t="inlineStr">
        <is>
          <t>SKÅNE LÄN</t>
        </is>
      </c>
      <c r="G30" t="inlineStr">
        <is>
          <t>HÖÖR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Skogsbräsma</t>
        </is>
      </c>
      <c r="W30">
        <f>HYPERLINK("https://klasma.github.io/Logging_1267/artfynd/A 13429-2023 artfynd.xlsx", "A 13429-2023")</f>
        <v/>
      </c>
      <c r="X30">
        <f>HYPERLINK("https://klasma.github.io/Logging_1267/kartor/A 13429-2023 karta.png", "A 13429-2023")</f>
        <v/>
      </c>
      <c r="Y30">
        <f>HYPERLINK("https://klasma.github.io/Logging_1267/kartor_geotiff/A 13429-2023 georefererad karta.tif", "A 13429-2023")</f>
        <v/>
      </c>
      <c r="AA30">
        <f>HYPERLINK("https://klasma.github.io/Logging_1267/klagomål/A 13429-2023 FSC-klagomål.docx", "A 13429-2023")</f>
        <v/>
      </c>
      <c r="AB30">
        <f>HYPERLINK("https://klasma.github.io/Logging_1267/klagomålsmail/A 13429-2023 FSC-klagomål mail.docx", "A 13429-2023")</f>
        <v/>
      </c>
      <c r="AC30">
        <f>HYPERLINK("https://klasma.github.io/Logging_1267/tillsyn/A 13429-2023 tillsynsbegäran.docx", "A 13429-2023")</f>
        <v/>
      </c>
      <c r="AD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45645</v>
      </c>
      <c r="E31" s="1" t="n">
        <v>46323</v>
      </c>
      <c r="F31" t="inlineStr">
        <is>
          <t>SKÅNE LÄN</t>
        </is>
      </c>
      <c r="G31" t="inlineStr">
        <is>
          <t>HÖÖR</t>
        </is>
      </c>
      <c r="H31" t="inlineStr">
        <is>
          <t>Kommuner</t>
        </is>
      </c>
      <c r="I31" t="n">
        <v>0.5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Kungsfiskare</t>
        </is>
      </c>
      <c r="W31">
        <f>HYPERLINK("https://klasma.github.io/Logging_1267/artfynd/A 61007-2024 artfynd.xlsx", "A 61007-2024")</f>
        <v/>
      </c>
      <c r="X31">
        <f>HYPERLINK("https://klasma.github.io/Logging_1267/kartor/A 61007-2024 karta.png", "A 61007-2024")</f>
        <v/>
      </c>
      <c r="Y31">
        <f>HYPERLINK("https://klasma.github.io/Logging_1267/kartor_geotiff/A 61007-2024 georefererad karta.tif", "A 61007-2024")</f>
        <v/>
      </c>
      <c r="AA31">
        <f>HYPERLINK("https://klasma.github.io/Logging_1267/klagomål/A 61007-2024 FSC-klagomål.docx", "A 61007-2024")</f>
        <v/>
      </c>
      <c r="AB31">
        <f>HYPERLINK("https://klasma.github.io/Logging_1267/klagomålsmail/A 61007-2024 FSC-klagomål mail.docx", "A 61007-2024")</f>
        <v/>
      </c>
      <c r="AC31">
        <f>HYPERLINK("https://klasma.github.io/Logging_1267/tillsyn/A 61007-2024 tillsynsbegäran.docx", "A 61007-2024")</f>
        <v/>
      </c>
      <c r="AD31">
        <f>HYPERLINK("https://klasma.github.io/Logging_1267/tillsynsmail/A 61007-2024 tillsynsbegäran mail.docx", "A 61007-2024")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46323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46323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46323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22569-2024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46323</v>
      </c>
      <c r="F35" t="inlineStr">
        <is>
          <t>SKÅNE LÄN</t>
        </is>
      </c>
      <c r="G35" t="inlineStr">
        <is>
          <t>HÖÖR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HYPERLINK("https://klasma.github.io/Logging_1267/artfynd/A 22569-2024 artfynd.xlsx", "A 22569-2024")</f>
        <v/>
      </c>
      <c r="X35">
        <f>HYPERLINK("https://klasma.github.io/Logging_1267/kartor/A 22569-2024 karta.png", "A 22569-2024")</f>
        <v/>
      </c>
      <c r="Y35">
        <f>HYPERLINK("https://klasma.github.io/Logging_1267/kartor_geotiff/A 22569-2024 georefererad karta.tif", "A 22569-2024")</f>
        <v/>
      </c>
      <c r="AA35">
        <f>HYPERLINK("https://klasma.github.io/Logging_1267/klagomål/A 22569-2024 FSC-klagomål.docx", "A 22569-2024")</f>
        <v/>
      </c>
      <c r="AB35">
        <f>HYPERLINK("https://klasma.github.io/Logging_1267/klagomålsmail/A 22569-2024 FSC-klagomål mail.docx", "A 22569-2024")</f>
        <v/>
      </c>
      <c r="AC35">
        <f>HYPERLINK("https://klasma.github.io/Logging_1267/tillsyn/A 22569-2024 tillsynsbegäran.docx", "A 22569-2024")</f>
        <v/>
      </c>
      <c r="AD35">
        <f>HYPERLINK("https://klasma.github.io/Logging_1267/tillsynsmail/A 22569-2024 tillsynsbegäran mail.docx", "A 22569-2024")</f>
        <v/>
      </c>
      <c r="AE35">
        <f>HYPERLINK("https://klasma.github.io/Logging_1267/fåglar/A 22569-2024 prioriterade fågelarter.docx", "A 22569-2024")</f>
        <v/>
      </c>
    </row>
    <row r="36" ht="15" customHeight="1">
      <c r="A36" t="inlineStr">
        <is>
          <t>A 48926-2024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46323</v>
      </c>
      <c r="F36" t="inlineStr">
        <is>
          <t>SKÅNE LÄN</t>
        </is>
      </c>
      <c r="G36" t="inlineStr">
        <is>
          <t>HÖÖR</t>
        </is>
      </c>
      <c r="I36" t="n">
        <v>10.8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HYPERLINK("https://klasma.github.io/Logging_1267/artfynd/A 48926-2024 artfynd.xlsx", "A 48926-2024")</f>
        <v/>
      </c>
      <c r="X36">
        <f>HYPERLINK("https://klasma.github.io/Logging_1267/kartor/A 48926-2024 karta.png", "A 48926-2024")</f>
        <v/>
      </c>
      <c r="Y36">
        <f>HYPERLINK("https://klasma.github.io/Logging_1267/kartor_geotiff/A 48926-2024 georefererad karta.tif", "A 48926-2024")</f>
        <v/>
      </c>
      <c r="AA36">
        <f>HYPERLINK("https://klasma.github.io/Logging_1267/klagomål/A 48926-2024 FSC-klagomål.docx", "A 48926-2024")</f>
        <v/>
      </c>
      <c r="AB36">
        <f>HYPERLINK("https://klasma.github.io/Logging_1267/klagomålsmail/A 48926-2024 FSC-klagomål mail.docx", "A 48926-2024")</f>
        <v/>
      </c>
      <c r="AC36">
        <f>HYPERLINK("https://klasma.github.io/Logging_1267/tillsyn/A 48926-2024 tillsynsbegäran.docx", "A 48926-2024")</f>
        <v/>
      </c>
      <c r="AD36">
        <f>HYPERLINK("https://klasma.github.io/Logging_1267/tillsynsmail/A 48926-2024 tillsynsbegäran mail.docx", "A 48926-2024")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46323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46323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46323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46323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46323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46323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46323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46323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46323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46323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46323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46323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46323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46323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46323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46323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45583</v>
      </c>
      <c r="E53" s="1" t="n">
        <v>46323</v>
      </c>
      <c r="F53" t="inlineStr">
        <is>
          <t>SKÅNE LÄN</t>
        </is>
      </c>
      <c r="G53" t="inlineStr">
        <is>
          <t>HÖÖR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16663-2022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44672</v>
      </c>
      <c r="E54" s="1" t="n">
        <v>46323</v>
      </c>
      <c r="F54" t="inlineStr">
        <is>
          <t>SKÅNE LÄN</t>
        </is>
      </c>
      <c r="G54" t="inlineStr">
        <is>
          <t>HÖÖR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46323</v>
      </c>
      <c r="F55" t="inlineStr">
        <is>
          <t>SKÅNE LÄN</t>
        </is>
      </c>
      <c r="G55" t="inlineStr">
        <is>
          <t>HÖÖR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63268-2023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45273</v>
      </c>
      <c r="E56" s="1" t="n">
        <v>46323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46323</v>
      </c>
      <c r="F57" t="inlineStr">
        <is>
          <t>SKÅNE LÄN</t>
        </is>
      </c>
      <c r="G57" t="inlineStr">
        <is>
          <t>HÖÖR</t>
        </is>
      </c>
      <c r="I57" t="n">
        <v>12.3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45315</v>
      </c>
      <c r="E58" s="1" t="n">
        <v>46323</v>
      </c>
      <c r="F58" t="inlineStr">
        <is>
          <t>SKÅNE LÄN</t>
        </is>
      </c>
      <c r="G58" t="inlineStr">
        <is>
          <t>HÖÖR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50330-2023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45216</v>
      </c>
      <c r="E59" s="1" t="n">
        <v>46323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45216</v>
      </c>
      <c r="E60" s="1" t="n">
        <v>46323</v>
      </c>
      <c r="F60" t="inlineStr">
        <is>
          <t>SKÅNE LÄN</t>
        </is>
      </c>
      <c r="G60" t="inlineStr">
        <is>
          <t>HÖÖR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45372</v>
      </c>
      <c r="E61" s="1" t="n">
        <v>46323</v>
      </c>
      <c r="F61" t="inlineStr">
        <is>
          <t>SKÅNE LÄN</t>
        </is>
      </c>
      <c r="G61" t="inlineStr">
        <is>
          <t>HÖÖR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65203-2021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44515</v>
      </c>
      <c r="E62" s="1" t="n">
        <v>46323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13432-2023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45005</v>
      </c>
      <c r="E63" s="1" t="n">
        <v>46323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46323</v>
      </c>
      <c r="F64" t="inlineStr">
        <is>
          <t>SKÅNE LÄN</t>
        </is>
      </c>
      <c r="G64" t="inlineStr">
        <is>
          <t>HÖÖR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45698</v>
      </c>
      <c r="E65" s="1" t="n">
        <v>46323</v>
      </c>
      <c r="F65" t="inlineStr">
        <is>
          <t>SKÅNE LÄN</t>
        </is>
      </c>
      <c r="G65" t="inlineStr">
        <is>
          <t>HÖÖR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15905-2024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46323</v>
      </c>
      <c r="F66" t="inlineStr">
        <is>
          <t>SKÅNE LÄN</t>
        </is>
      </c>
      <c r="G66" t="inlineStr">
        <is>
          <t>HÖÖR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46323</v>
      </c>
      <c r="F67" t="inlineStr">
        <is>
          <t>SKÅNE LÄN</t>
        </is>
      </c>
      <c r="G67" t="inlineStr">
        <is>
          <t>HÖÖR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46323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45092-2024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45575</v>
      </c>
      <c r="E69" s="1" t="n">
        <v>46323</v>
      </c>
      <c r="F69" t="inlineStr">
        <is>
          <t>SKÅNE LÄN</t>
        </is>
      </c>
      <c r="G69" t="inlineStr">
        <is>
          <t>HÖÖR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46323</v>
      </c>
      <c r="F70" t="inlineStr">
        <is>
          <t>SKÅNE LÄN</t>
        </is>
      </c>
      <c r="G70" t="inlineStr">
        <is>
          <t>HÖÖR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25934-2022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46323</v>
      </c>
      <c r="F71" t="inlineStr">
        <is>
          <t>SKÅNE LÄN</t>
        </is>
      </c>
      <c r="G71" t="inlineStr">
        <is>
          <t>HÖÖR</t>
        </is>
      </c>
      <c r="H71" t="inlineStr">
        <is>
          <t>Övriga statliga verk och myndigheter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44874</v>
      </c>
      <c r="E72" s="1" t="n">
        <v>46323</v>
      </c>
      <c r="F72" t="inlineStr">
        <is>
          <t>SKÅNE LÄN</t>
        </is>
      </c>
      <c r="G72" t="inlineStr">
        <is>
          <t>HÖÖR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44908</v>
      </c>
      <c r="E73" s="1" t="n">
        <v>46323</v>
      </c>
      <c r="F73" t="inlineStr">
        <is>
          <t>SKÅNE LÄN</t>
        </is>
      </c>
      <c r="G73" t="inlineStr">
        <is>
          <t>HÖÖR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46323</v>
      </c>
      <c r="F74" t="inlineStr">
        <is>
          <t>SKÅNE LÄN</t>
        </is>
      </c>
      <c r="G74" t="inlineStr">
        <is>
          <t>HÖÖR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56596-2022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46323</v>
      </c>
      <c r="F75" t="inlineStr">
        <is>
          <t>SKÅNE LÄN</t>
        </is>
      </c>
      <c r="G75" t="inlineStr">
        <is>
          <t>HÖÖR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45041</v>
      </c>
      <c r="E76" s="1" t="n">
        <v>46323</v>
      </c>
      <c r="F76" t="inlineStr">
        <is>
          <t>SKÅNE LÄN</t>
        </is>
      </c>
      <c r="G76" t="inlineStr">
        <is>
          <t>HÖÖR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45037</v>
      </c>
      <c r="E77" s="1" t="n">
        <v>46323</v>
      </c>
      <c r="F77" t="inlineStr">
        <is>
          <t>SKÅNE LÄN</t>
        </is>
      </c>
      <c r="G77" t="inlineStr">
        <is>
          <t>HÖÖR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46323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46323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45327</v>
      </c>
      <c r="E80" s="1" t="n">
        <v>46323</v>
      </c>
      <c r="F80" t="inlineStr">
        <is>
          <t>SKÅNE LÄN</t>
        </is>
      </c>
      <c r="G80" t="inlineStr">
        <is>
          <t>HÖÖR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45093</v>
      </c>
      <c r="E81" s="1" t="n">
        <v>46323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14849-2024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45398</v>
      </c>
      <c r="E82" s="1" t="n">
        <v>46323</v>
      </c>
      <c r="F82" t="inlineStr">
        <is>
          <t>SKÅNE LÄN</t>
        </is>
      </c>
      <c r="G82" t="inlineStr">
        <is>
          <t>HÖÖR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45748</v>
      </c>
      <c r="E83" s="1" t="n">
        <v>46323</v>
      </c>
      <c r="F83" t="inlineStr">
        <is>
          <t>SKÅNE LÄN</t>
        </is>
      </c>
      <c r="G83" t="inlineStr">
        <is>
          <t>HÖÖR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46323</v>
      </c>
      <c r="F84" t="inlineStr">
        <is>
          <t>SKÅNE LÄN</t>
        </is>
      </c>
      <c r="G84" t="inlineStr">
        <is>
          <t>HÖÖR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46323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46323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46323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46323</v>
      </c>
      <c r="F88" t="inlineStr">
        <is>
          <t>SKÅNE LÄN</t>
        </is>
      </c>
      <c r="G88" t="inlineStr">
        <is>
          <t>HÖÖR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45323</v>
      </c>
      <c r="E89" s="1" t="n">
        <v>46323</v>
      </c>
      <c r="F89" t="inlineStr">
        <is>
          <t>SKÅNE LÄN</t>
        </is>
      </c>
      <c r="G89" t="inlineStr">
        <is>
          <t>HÖÖR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44848</v>
      </c>
      <c r="E90" s="1" t="n">
        <v>46323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45685</v>
      </c>
      <c r="E91" s="1" t="n">
        <v>46323</v>
      </c>
      <c r="F91" t="inlineStr">
        <is>
          <t>SKÅNE LÄN</t>
        </is>
      </c>
      <c r="G91" t="inlineStr">
        <is>
          <t>HÖÖR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46323</v>
      </c>
      <c r="F92" t="inlineStr">
        <is>
          <t>SKÅNE LÄN</t>
        </is>
      </c>
      <c r="G92" t="inlineStr">
        <is>
          <t>HÖÖR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46323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44838</v>
      </c>
      <c r="E94" s="1" t="n">
        <v>46323</v>
      </c>
      <c r="F94" t="inlineStr">
        <is>
          <t>SKÅNE LÄN</t>
        </is>
      </c>
      <c r="G94" t="inlineStr">
        <is>
          <t>HÖÖR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44838</v>
      </c>
      <c r="E95" s="1" t="n">
        <v>46323</v>
      </c>
      <c r="F95" t="inlineStr">
        <is>
          <t>SKÅNE LÄN</t>
        </is>
      </c>
      <c r="G95" t="inlineStr">
        <is>
          <t>HÖÖR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46323</v>
      </c>
      <c r="F96" t="inlineStr">
        <is>
          <t>SKÅNE LÄN</t>
        </is>
      </c>
      <c r="G96" t="inlineStr">
        <is>
          <t>HÖÖR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46323</v>
      </c>
      <c r="F97" t="inlineStr">
        <is>
          <t>SKÅNE LÄN</t>
        </is>
      </c>
      <c r="G97" t="inlineStr">
        <is>
          <t>HÖÖR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65200-2021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44515</v>
      </c>
      <c r="E98" s="1" t="n">
        <v>46323</v>
      </c>
      <c r="F98" t="inlineStr">
        <is>
          <t>SKÅNE LÄN</t>
        </is>
      </c>
      <c r="G98" t="inlineStr">
        <is>
          <t>HÖÖR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46323</v>
      </c>
      <c r="F99" t="inlineStr">
        <is>
          <t>SKÅNE LÄN</t>
        </is>
      </c>
      <c r="G99" t="inlineStr">
        <is>
          <t>HÖÖR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46323</v>
      </c>
      <c r="F100" t="inlineStr">
        <is>
          <t>SKÅNE LÄN</t>
        </is>
      </c>
      <c r="G100" t="inlineStr">
        <is>
          <t>HÖÖR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46323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45672</v>
      </c>
      <c r="E102" s="1" t="n">
        <v>46323</v>
      </c>
      <c r="F102" t="inlineStr">
        <is>
          <t>SKÅNE LÄN</t>
        </is>
      </c>
      <c r="G102" t="inlineStr">
        <is>
          <t>HÖÖR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46323</v>
      </c>
      <c r="F103" t="inlineStr">
        <is>
          <t>SKÅNE LÄN</t>
        </is>
      </c>
      <c r="G103" t="inlineStr">
        <is>
          <t>HÖÖR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16110-2024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45406</v>
      </c>
      <c r="E104" s="1" t="n">
        <v>46323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46323</v>
      </c>
      <c r="F105" t="inlineStr">
        <is>
          <t>SKÅNE LÄN</t>
        </is>
      </c>
      <c r="G105" t="inlineStr">
        <is>
          <t>HÖÖR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46323</v>
      </c>
      <c r="F106" t="inlineStr">
        <is>
          <t>SKÅNE LÄN</t>
        </is>
      </c>
      <c r="G106" t="inlineStr">
        <is>
          <t>HÖÖR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53460-2022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46323</v>
      </c>
      <c r="F107" t="inlineStr">
        <is>
          <t>SKÅNE LÄN</t>
        </is>
      </c>
      <c r="G107" t="inlineStr">
        <is>
          <t>HÖÖR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46323</v>
      </c>
      <c r="F108" t="inlineStr">
        <is>
          <t>SKÅNE LÄN</t>
        </is>
      </c>
      <c r="G108" t="inlineStr">
        <is>
          <t>HÖÖR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46323</v>
      </c>
      <c r="F109" t="inlineStr">
        <is>
          <t>SKÅNE LÄN</t>
        </is>
      </c>
      <c r="G109" t="inlineStr">
        <is>
          <t>HÖÖR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45751</v>
      </c>
      <c r="E110" s="1" t="n">
        <v>46323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31092-2023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45113</v>
      </c>
      <c r="E111" s="1" t="n">
        <v>46323</v>
      </c>
      <c r="F111" t="inlineStr">
        <is>
          <t>SKÅNE LÄN</t>
        </is>
      </c>
      <c r="G111" t="inlineStr">
        <is>
          <t>HÖÖR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46323</v>
      </c>
      <c r="F112" t="inlineStr">
        <is>
          <t>SKÅNE LÄN</t>
        </is>
      </c>
      <c r="G112" t="inlineStr">
        <is>
          <t>HÖÖR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46323</v>
      </c>
      <c r="F113" t="inlineStr">
        <is>
          <t>SKÅNE LÄN</t>
        </is>
      </c>
      <c r="G113" t="inlineStr">
        <is>
          <t>HÖÖR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45539</v>
      </c>
      <c r="E114" s="1" t="n">
        <v>46323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46323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46323</v>
      </c>
      <c r="F116" t="inlineStr">
        <is>
          <t>SKÅNE LÄN</t>
        </is>
      </c>
      <c r="G116" t="inlineStr">
        <is>
          <t>HÖÖR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46323</v>
      </c>
      <c r="F117" t="inlineStr">
        <is>
          <t>SKÅNE LÄN</t>
        </is>
      </c>
      <c r="G117" t="inlineStr">
        <is>
          <t>HÖÖR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46323</v>
      </c>
      <c r="F118" t="inlineStr">
        <is>
          <t>SKÅNE LÄN</t>
        </is>
      </c>
      <c r="G118" t="inlineStr">
        <is>
          <t>HÖÖR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46323</v>
      </c>
      <c r="F119" t="inlineStr">
        <is>
          <t>SKÅNE LÄN</t>
        </is>
      </c>
      <c r="G119" t="inlineStr">
        <is>
          <t>HÖÖR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46323</v>
      </c>
      <c r="F120" t="inlineStr">
        <is>
          <t>SKÅNE LÄN</t>
        </is>
      </c>
      <c r="G120" t="inlineStr">
        <is>
          <t>HÖÖR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46323</v>
      </c>
      <c r="F121" t="inlineStr">
        <is>
          <t>SKÅNE LÄN</t>
        </is>
      </c>
      <c r="G121" t="inlineStr">
        <is>
          <t>HÖÖR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46323</v>
      </c>
      <c r="F122" t="inlineStr">
        <is>
          <t>SKÅNE LÄN</t>
        </is>
      </c>
      <c r="G122" t="inlineStr">
        <is>
          <t>HÖÖR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45477</v>
      </c>
      <c r="E123" s="1" t="n">
        <v>46323</v>
      </c>
      <c r="F123" t="inlineStr">
        <is>
          <t>SKÅNE LÄN</t>
        </is>
      </c>
      <c r="G123" t="inlineStr">
        <is>
          <t>HÖÖR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45318</v>
      </c>
      <c r="E124" s="1" t="n">
        <v>46323</v>
      </c>
      <c r="F124" t="inlineStr">
        <is>
          <t>SKÅNE LÄN</t>
        </is>
      </c>
      <c r="G124" t="inlineStr">
        <is>
          <t>HÖÖR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45450</v>
      </c>
      <c r="E125" s="1" t="n">
        <v>46323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45971</v>
      </c>
      <c r="E126" s="1" t="n">
        <v>46323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44621</v>
      </c>
      <c r="E127" s="1" t="n">
        <v>46323</v>
      </c>
      <c r="F127" t="inlineStr">
        <is>
          <t>SKÅNE LÄN</t>
        </is>
      </c>
      <c r="G127" t="inlineStr">
        <is>
          <t>HÖÖR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46323</v>
      </c>
      <c r="F128" t="inlineStr">
        <is>
          <t>SKÅNE LÄN</t>
        </is>
      </c>
      <c r="G128" t="inlineStr">
        <is>
          <t>HÖÖR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46323</v>
      </c>
      <c r="F129" t="inlineStr">
        <is>
          <t>SKÅNE LÄN</t>
        </is>
      </c>
      <c r="G129" t="inlineStr">
        <is>
          <t>HÖÖR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46323</v>
      </c>
      <c r="F130" t="inlineStr">
        <is>
          <t>SKÅNE LÄN</t>
        </is>
      </c>
      <c r="G130" t="inlineStr">
        <is>
          <t>HÖÖR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7306-2023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44970</v>
      </c>
      <c r="E131" s="1" t="n">
        <v>46323</v>
      </c>
      <c r="F131" t="inlineStr">
        <is>
          <t>SKÅNE LÄN</t>
        </is>
      </c>
      <c r="G131" t="inlineStr">
        <is>
          <t>HÖÖR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46323</v>
      </c>
      <c r="F132" t="inlineStr">
        <is>
          <t>SKÅNE LÄN</t>
        </is>
      </c>
      <c r="G132" t="inlineStr">
        <is>
          <t>HÖÖR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73544-2021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44551</v>
      </c>
      <c r="E133" s="1" t="n">
        <v>46323</v>
      </c>
      <c r="F133" t="inlineStr">
        <is>
          <t>SKÅNE LÄN</t>
        </is>
      </c>
      <c r="G133" t="inlineStr">
        <is>
          <t>HÖÖR</t>
        </is>
      </c>
      <c r="H133" t="inlineStr">
        <is>
          <t>Övriga statliga verk och myndigheter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46323</v>
      </c>
      <c r="F134" t="inlineStr">
        <is>
          <t>SKÅNE LÄN</t>
        </is>
      </c>
      <c r="G134" t="inlineStr">
        <is>
          <t>HÖÖR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45568</v>
      </c>
      <c r="E135" s="1" t="n">
        <v>46323</v>
      </c>
      <c r="F135" t="inlineStr">
        <is>
          <t>SKÅNE LÄN</t>
        </is>
      </c>
      <c r="G135" t="inlineStr">
        <is>
          <t>HÖÖR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46323</v>
      </c>
      <c r="F136" t="inlineStr">
        <is>
          <t>SKÅNE LÄN</t>
        </is>
      </c>
      <c r="G136" t="inlineStr">
        <is>
          <t>HÖÖR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46323</v>
      </c>
      <c r="F137" t="inlineStr">
        <is>
          <t>SKÅNE LÄN</t>
        </is>
      </c>
      <c r="G137" t="inlineStr">
        <is>
          <t>HÖÖR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46323</v>
      </c>
      <c r="F138" t="inlineStr">
        <is>
          <t>SKÅNE LÄN</t>
        </is>
      </c>
      <c r="G138" t="inlineStr">
        <is>
          <t>HÖÖR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46323</v>
      </c>
      <c r="F139" t="inlineStr">
        <is>
          <t>SKÅNE LÄN</t>
        </is>
      </c>
      <c r="G139" t="inlineStr">
        <is>
          <t>HÖÖR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46323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46323</v>
      </c>
      <c r="F141" t="inlineStr">
        <is>
          <t>SKÅNE LÄN</t>
        </is>
      </c>
      <c r="G141" t="inlineStr">
        <is>
          <t>HÖÖR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46323</v>
      </c>
      <c r="F142" t="inlineStr">
        <is>
          <t>SKÅNE LÄN</t>
        </is>
      </c>
      <c r="G142" t="inlineStr">
        <is>
          <t>HÖÖR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45770</v>
      </c>
      <c r="E143" s="1" t="n">
        <v>46323</v>
      </c>
      <c r="F143" t="inlineStr">
        <is>
          <t>SKÅNE LÄN</t>
        </is>
      </c>
      <c r="G143" t="inlineStr">
        <is>
          <t>HÖÖR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46323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56941-2025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45978</v>
      </c>
      <c r="E145" s="1" t="n">
        <v>46323</v>
      </c>
      <c r="F145" t="inlineStr">
        <is>
          <t>SKÅNE LÄN</t>
        </is>
      </c>
      <c r="G145" t="inlineStr">
        <is>
          <t>HÖÖR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46198</v>
      </c>
      <c r="E146" s="1" t="n">
        <v>46323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46023</v>
      </c>
      <c r="E147" s="1" t="n">
        <v>46323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46023</v>
      </c>
      <c r="E148" s="1" t="n">
        <v>46323</v>
      </c>
      <c r="F148" t="inlineStr">
        <is>
          <t>SKÅNE LÄN</t>
        </is>
      </c>
      <c r="G148" t="inlineStr">
        <is>
          <t>HÖÖR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46323</v>
      </c>
      <c r="F149" t="inlineStr">
        <is>
          <t>SKÅNE LÄN</t>
        </is>
      </c>
      <c r="G149" t="inlineStr">
        <is>
          <t>HÖÖR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46323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46323</v>
      </c>
      <c r="F151" t="inlineStr">
        <is>
          <t>SKÅNE LÄN</t>
        </is>
      </c>
      <c r="G151" t="inlineStr">
        <is>
          <t>HÖÖR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46323</v>
      </c>
      <c r="F152" t="inlineStr">
        <is>
          <t>SKÅNE LÄN</t>
        </is>
      </c>
      <c r="G152" t="inlineStr">
        <is>
          <t>HÖÖR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45471</v>
      </c>
      <c r="E153" s="1" t="n">
        <v>46323</v>
      </c>
      <c r="F153" t="inlineStr">
        <is>
          <t>SKÅNE LÄN</t>
        </is>
      </c>
      <c r="G153" t="inlineStr">
        <is>
          <t>HÖÖR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45791</v>
      </c>
      <c r="E154" s="1" t="n">
        <v>46323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61019-2024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45645</v>
      </c>
      <c r="E155" s="1" t="n">
        <v>46323</v>
      </c>
      <c r="F155" t="inlineStr">
        <is>
          <t>SKÅNE LÄN</t>
        </is>
      </c>
      <c r="G155" t="inlineStr">
        <is>
          <t>HÖÖR</t>
        </is>
      </c>
      <c r="H155" t="inlineStr">
        <is>
          <t>Kommuner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46323</v>
      </c>
      <c r="F156" t="inlineStr">
        <is>
          <t>SKÅNE LÄN</t>
        </is>
      </c>
      <c r="G156" t="inlineStr">
        <is>
          <t>HÖÖR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46323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46323</v>
      </c>
      <c r="F158" t="inlineStr">
        <is>
          <t>SKÅNE LÄN</t>
        </is>
      </c>
      <c r="G158" t="inlineStr">
        <is>
          <t>HÖÖR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46209</v>
      </c>
      <c r="E159" s="1" t="n">
        <v>46323</v>
      </c>
      <c r="F159" t="inlineStr">
        <is>
          <t>SKÅNE LÄN</t>
        </is>
      </c>
      <c r="G159" t="inlineStr">
        <is>
          <t>HÖÖR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46323</v>
      </c>
      <c r="F160" t="inlineStr">
        <is>
          <t>SKÅNE LÄN</t>
        </is>
      </c>
      <c r="G160" t="inlineStr">
        <is>
          <t>HÖÖR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46323</v>
      </c>
      <c r="F161" t="inlineStr">
        <is>
          <t>SKÅNE LÄN</t>
        </is>
      </c>
      <c r="G161" t="inlineStr">
        <is>
          <t>HÖÖR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46323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45728</v>
      </c>
      <c r="E163" s="1" t="n">
        <v>46323</v>
      </c>
      <c r="F163" t="inlineStr">
        <is>
          <t>SKÅNE LÄN</t>
        </is>
      </c>
      <c r="G163" t="inlineStr">
        <is>
          <t>HÖÖR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46323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46323</v>
      </c>
      <c r="F165" t="inlineStr">
        <is>
          <t>SKÅNE LÄN</t>
        </is>
      </c>
      <c r="G165" t="inlineStr">
        <is>
          <t>HÖÖR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46323</v>
      </c>
      <c r="F166" t="inlineStr">
        <is>
          <t>SKÅNE LÄN</t>
        </is>
      </c>
      <c r="G166" t="inlineStr">
        <is>
          <t>HÖÖR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46323</v>
      </c>
      <c r="F167" t="inlineStr">
        <is>
          <t>SKÅNE LÄN</t>
        </is>
      </c>
      <c r="G167" t="inlineStr">
        <is>
          <t>HÖÖR</t>
        </is>
      </c>
      <c r="I167" t="n">
        <v>12.3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46323</v>
      </c>
      <c r="F168" t="inlineStr">
        <is>
          <t>SKÅNE LÄN</t>
        </is>
      </c>
      <c r="G168" t="inlineStr">
        <is>
          <t>HÖÖR</t>
        </is>
      </c>
      <c r="I168" t="n">
        <v>28.4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46323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60425-2022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44911</v>
      </c>
      <c r="E170" s="1" t="n">
        <v>46323</v>
      </c>
      <c r="F170" t="inlineStr">
        <is>
          <t>SKÅNE LÄN</t>
        </is>
      </c>
      <c r="G170" t="inlineStr">
        <is>
          <t>HÖÖR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46323</v>
      </c>
      <c r="F171" t="inlineStr">
        <is>
          <t>SKÅNE LÄN</t>
        </is>
      </c>
      <c r="G171" t="inlineStr">
        <is>
          <t>HÖÖR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46323</v>
      </c>
      <c r="F172" t="inlineStr">
        <is>
          <t>SKÅNE LÄN</t>
        </is>
      </c>
      <c r="G172" t="inlineStr">
        <is>
          <t>HÖÖR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46323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8290-2026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46064</v>
      </c>
      <c r="E174" s="1" t="n">
        <v>46323</v>
      </c>
      <c r="F174" t="inlineStr">
        <is>
          <t>SKÅNE LÄN</t>
        </is>
      </c>
      <c r="G174" t="inlineStr">
        <is>
          <t>HÖÖR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61087-2022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44915</v>
      </c>
      <c r="E175" s="1" t="n">
        <v>46323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46282</v>
      </c>
      <c r="E176" s="1" t="n">
        <v>46323</v>
      </c>
      <c r="F176" t="inlineStr">
        <is>
          <t>SKÅNE LÄN</t>
        </is>
      </c>
      <c r="G176" t="inlineStr">
        <is>
          <t>HÖÖR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46196</v>
      </c>
      <c r="E177" s="1" t="n">
        <v>46323</v>
      </c>
      <c r="F177" t="inlineStr">
        <is>
          <t>SKÅNE LÄN</t>
        </is>
      </c>
      <c r="G177" t="inlineStr">
        <is>
          <t>HÖÖR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46323</v>
      </c>
      <c r="F178" t="inlineStr">
        <is>
          <t>SKÅNE LÄN</t>
        </is>
      </c>
      <c r="G178" t="inlineStr">
        <is>
          <t>HÖÖR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46323</v>
      </c>
      <c r="F179" t="inlineStr">
        <is>
          <t>SKÅNE LÄN</t>
        </is>
      </c>
      <c r="G179" t="inlineStr">
        <is>
          <t>HÖÖR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46323</v>
      </c>
      <c r="F180" t="inlineStr">
        <is>
          <t>SKÅNE LÄN</t>
        </is>
      </c>
      <c r="G180" t="inlineStr">
        <is>
          <t>HÖÖR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46323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46323</v>
      </c>
      <c r="F182" t="inlineStr">
        <is>
          <t>SKÅNE LÄN</t>
        </is>
      </c>
      <c r="G182" t="inlineStr">
        <is>
          <t>HÖÖR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44573</v>
      </c>
      <c r="E183" s="1" t="n">
        <v>46323</v>
      </c>
      <c r="F183" t="inlineStr">
        <is>
          <t>SKÅNE LÄN</t>
        </is>
      </c>
      <c r="G183" t="inlineStr">
        <is>
          <t>HÖÖR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46323</v>
      </c>
      <c r="F184" t="inlineStr">
        <is>
          <t>SKÅNE LÄN</t>
        </is>
      </c>
      <c r="G184" t="inlineStr">
        <is>
          <t>HÖÖR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46323</v>
      </c>
      <c r="F185" t="inlineStr">
        <is>
          <t>SKÅNE LÄN</t>
        </is>
      </c>
      <c r="G185" t="inlineStr">
        <is>
          <t>HÖÖR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46323</v>
      </c>
      <c r="F186" t="inlineStr">
        <is>
          <t>SKÅNE LÄN</t>
        </is>
      </c>
      <c r="G186" t="inlineStr">
        <is>
          <t>HÖÖR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45534</v>
      </c>
      <c r="E187" s="1" t="n">
        <v>46323</v>
      </c>
      <c r="F187" t="inlineStr">
        <is>
          <t>SKÅNE LÄN</t>
        </is>
      </c>
      <c r="G187" t="inlineStr">
        <is>
          <t>HÖÖR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46323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46323</v>
      </c>
      <c r="F189" t="inlineStr">
        <is>
          <t>SKÅNE LÄN</t>
        </is>
      </c>
      <c r="G189" t="inlineStr">
        <is>
          <t>HÖÖR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46128</v>
      </c>
      <c r="E190" s="1" t="n">
        <v>46323</v>
      </c>
      <c r="F190" t="inlineStr">
        <is>
          <t>SKÅNE LÄN</t>
        </is>
      </c>
      <c r="G190" t="inlineStr">
        <is>
          <t>HÖÖR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17693-2026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46121</v>
      </c>
      <c r="E191" s="1" t="n">
        <v>46323</v>
      </c>
      <c r="F191" t="inlineStr">
        <is>
          <t>SKÅNE LÄN</t>
        </is>
      </c>
      <c r="G191" t="inlineStr">
        <is>
          <t>HÖÖR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25795-2026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46323</v>
      </c>
      <c r="F192" t="inlineStr">
        <is>
          <t>SKÅNE LÄN</t>
        </is>
      </c>
      <c r="G192" t="inlineStr">
        <is>
          <t>HÖÖR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46255</v>
      </c>
      <c r="E193" s="1" t="n">
        <v>46323</v>
      </c>
      <c r="F193" t="inlineStr">
        <is>
          <t>SKÅNE LÄN</t>
        </is>
      </c>
      <c r="G193" t="inlineStr">
        <is>
          <t>HÖÖR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46323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46323</v>
      </c>
      <c r="F195" t="inlineStr">
        <is>
          <t>SKÅNE LÄN</t>
        </is>
      </c>
      <c r="G195" t="inlineStr">
        <is>
          <t>HÖÖR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44860</v>
      </c>
      <c r="E196" s="1" t="n">
        <v>46323</v>
      </c>
      <c r="F196" t="inlineStr">
        <is>
          <t>SKÅNE LÄN</t>
        </is>
      </c>
      <c r="G196" t="inlineStr">
        <is>
          <t>HÖÖR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8305-2026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46064</v>
      </c>
      <c r="E197" s="1" t="n">
        <v>46323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46323</v>
      </c>
      <c r="F198" t="inlineStr">
        <is>
          <t>SKÅNE LÄN</t>
        </is>
      </c>
      <c r="G198" t="inlineStr">
        <is>
          <t>HÖÖR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46323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45061</v>
      </c>
      <c r="E200" s="1" t="n">
        <v>46323</v>
      </c>
      <c r="F200" t="inlineStr">
        <is>
          <t>SKÅNE LÄN</t>
        </is>
      </c>
      <c r="G200" t="inlineStr">
        <is>
          <t>HÖÖR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46323</v>
      </c>
      <c r="F201" t="inlineStr">
        <is>
          <t>SKÅNE LÄN</t>
        </is>
      </c>
      <c r="G201" t="inlineStr">
        <is>
          <t>HÖÖR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46323</v>
      </c>
      <c r="F202" t="inlineStr">
        <is>
          <t>SKÅNE LÄN</t>
        </is>
      </c>
      <c r="G202" t="inlineStr">
        <is>
          <t>HÖÖR</t>
        </is>
      </c>
      <c r="H202" t="inlineStr">
        <is>
          <t>Övriga statliga verk och myndigheter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45322</v>
      </c>
      <c r="E203" s="1" t="n">
        <v>46323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46323</v>
      </c>
      <c r="F204" t="inlineStr">
        <is>
          <t>SKÅNE LÄN</t>
        </is>
      </c>
      <c r="G204" t="inlineStr">
        <is>
          <t>HÖÖR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45526</v>
      </c>
      <c r="E205" s="1" t="n">
        <v>46323</v>
      </c>
      <c r="F205" t="inlineStr">
        <is>
          <t>SKÅNE LÄN</t>
        </is>
      </c>
      <c r="G205" t="inlineStr">
        <is>
          <t>HÖÖR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36392-2026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46268</v>
      </c>
      <c r="E206" s="1" t="n">
        <v>46323</v>
      </c>
      <c r="F206" t="inlineStr">
        <is>
          <t>SKÅNE LÄN</t>
        </is>
      </c>
      <c r="G206" t="inlineStr">
        <is>
          <t>HÖÖR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46323</v>
      </c>
      <c r="F207" t="inlineStr">
        <is>
          <t>SKÅNE LÄN</t>
        </is>
      </c>
      <c r="G207" t="inlineStr">
        <is>
          <t>HÖÖR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45057</v>
      </c>
      <c r="E208" s="1" t="n">
        <v>46323</v>
      </c>
      <c r="F208" t="inlineStr">
        <is>
          <t>SKÅNE LÄN</t>
        </is>
      </c>
      <c r="G208" t="inlineStr">
        <is>
          <t>HÖÖR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46273</v>
      </c>
      <c r="E209" s="1" t="n">
        <v>46323</v>
      </c>
      <c r="F209" t="inlineStr">
        <is>
          <t>SKÅNE LÄN</t>
        </is>
      </c>
      <c r="G209" t="inlineStr">
        <is>
          <t>HÖÖR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46323</v>
      </c>
      <c r="F210" t="inlineStr">
        <is>
          <t>SKÅNE LÄN</t>
        </is>
      </c>
      <c r="G210" t="inlineStr">
        <is>
          <t>HÖÖR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46323</v>
      </c>
      <c r="F211" t="inlineStr">
        <is>
          <t>SKÅNE LÄN</t>
        </is>
      </c>
      <c r="G211" t="inlineStr">
        <is>
          <t>HÖÖR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46323</v>
      </c>
      <c r="F212" t="inlineStr">
        <is>
          <t>SKÅNE LÄN</t>
        </is>
      </c>
      <c r="G212" t="inlineStr">
        <is>
          <t>HÖÖR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46323</v>
      </c>
      <c r="F213" t="inlineStr">
        <is>
          <t>SKÅNE LÄN</t>
        </is>
      </c>
      <c r="G213" t="inlineStr">
        <is>
          <t>HÖÖR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46136</v>
      </c>
      <c r="E214" s="1" t="n">
        <v>46323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46323</v>
      </c>
      <c r="F215" t="inlineStr">
        <is>
          <t>SKÅNE LÄN</t>
        </is>
      </c>
      <c r="G215" t="inlineStr">
        <is>
          <t>HÖÖR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45709</v>
      </c>
      <c r="E216" s="1" t="n">
        <v>46323</v>
      </c>
      <c r="F216" t="inlineStr">
        <is>
          <t>SKÅNE LÄN</t>
        </is>
      </c>
      <c r="G216" t="inlineStr">
        <is>
          <t>HÖÖR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46323</v>
      </c>
      <c r="F217" t="inlineStr">
        <is>
          <t>SKÅNE LÄN</t>
        </is>
      </c>
      <c r="G217" t="inlineStr">
        <is>
          <t>HÖÖR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46280</v>
      </c>
      <c r="E218" s="1" t="n">
        <v>46323</v>
      </c>
      <c r="F218" t="inlineStr">
        <is>
          <t>SKÅNE LÄN</t>
        </is>
      </c>
      <c r="G218" t="inlineStr">
        <is>
          <t>HÖÖR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46323</v>
      </c>
      <c r="F219" t="inlineStr">
        <is>
          <t>SKÅNE LÄN</t>
        </is>
      </c>
      <c r="G219" t="inlineStr">
        <is>
          <t>HÖÖR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46323</v>
      </c>
      <c r="F220" t="inlineStr">
        <is>
          <t>SKÅNE LÄN</t>
        </is>
      </c>
      <c r="G220" t="inlineStr">
        <is>
          <t>HÖÖR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46160</v>
      </c>
      <c r="E221" s="1" t="n">
        <v>46323</v>
      </c>
      <c r="F221" t="inlineStr">
        <is>
          <t>SKÅNE LÄN</t>
        </is>
      </c>
      <c r="G221" t="inlineStr">
        <is>
          <t>HÖÖR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46323</v>
      </c>
      <c r="F222" t="inlineStr">
        <is>
          <t>SKÅNE LÄN</t>
        </is>
      </c>
      <c r="G222" t="inlineStr">
        <is>
          <t>HÖÖR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45807</v>
      </c>
      <c r="E223" s="1" t="n">
        <v>46323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46323</v>
      </c>
      <c r="F224" t="inlineStr">
        <is>
          <t>SKÅNE LÄN</t>
        </is>
      </c>
      <c r="G224" t="inlineStr">
        <is>
          <t>HÖÖR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46323</v>
      </c>
      <c r="F225" t="inlineStr">
        <is>
          <t>SKÅNE LÄN</t>
        </is>
      </c>
      <c r="G225" t="inlineStr">
        <is>
          <t>HÖÖR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46323</v>
      </c>
      <c r="F226" t="inlineStr">
        <is>
          <t>SKÅNE LÄN</t>
        </is>
      </c>
      <c r="G226" t="inlineStr">
        <is>
          <t>HÖÖR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28597-2026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46197</v>
      </c>
      <c r="E227" s="1" t="n">
        <v>46323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46323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46323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46323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46323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46323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46323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46323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46323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46323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46323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46323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46323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46323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2026-10-28T03:13:03Z</dcterms:created>
  <dcterms:modified xmlns:dcterms="http://purl.org/dc/terms/" xmlns:xsi="http://www.w3.org/2001/XMLSchema-instance" xsi:type="dcterms:W3CDTF">2026-10-28T03:13:03Z</dcterms:modified>
</cp:coreProperties>
</file>