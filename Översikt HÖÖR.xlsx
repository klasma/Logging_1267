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46216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V2">
        <f>HYPERLINK("https://klasma.github.io/Logging_1267/artfynd/S 4218-2023 artfynd.xlsx", "S 4218-2023")</f>
        <v/>
      </c>
      <c r="W2">
        <f>HYPERLINK("https://klasma.github.io/Logging_1267/kartor/S 4218-2023 karta.png", "S 4218-2023")</f>
        <v/>
      </c>
      <c r="Y2">
        <f>HYPERLINK("https://klasma.github.io/Logging_1267/klagomål/S 4218-2023 FSC-klagomål.docx", "S 4218-2023")</f>
        <v/>
      </c>
      <c r="Z2">
        <f>HYPERLINK("https://klasma.github.io/Logging_1267/klagomålsmail/S 4218-2023 FSC-klagomål mail.docx", "S 4218-2023")</f>
        <v/>
      </c>
      <c r="AA2">
        <f>HYPERLINK("https://klasma.github.io/Logging_1267/tillsyn/S 4218-2023 tillsynsbegäran.docx", "S 4218-2023")</f>
        <v/>
      </c>
      <c r="AB2">
        <f>HYPERLINK("https://klasma.github.io/Logging_1267/tillsynsmail/S 4218-2023 tillsynsbegäran mail.docx", "S 4218-2023")</f>
        <v/>
      </c>
      <c r="AC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46216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s="2" t="inlineStr">
        <is>
          <t>Ask
Småvänderot
Engelskt björnbär
Grönsångare
Gullpudra
Småjungfrukam
Svinrot
Dvärghäxört
Kambräken
Skogsbräsma
Skogsduva</t>
        </is>
      </c>
      <c r="V3">
        <f>HYPERLINK("https://klasma.github.io/Logging_1267/artfynd/S 8845-2021 artfynd.xlsx", "S 8845-2021")</f>
        <v/>
      </c>
      <c r="W3">
        <f>HYPERLINK("https://klasma.github.io/Logging_1267/kartor/S 8845-2021 karta.png", "S 8845-2021")</f>
        <v/>
      </c>
      <c r="Y3">
        <f>HYPERLINK("https://klasma.github.io/Logging_1267/klagomål/S 8845-2021 FSC-klagomål.docx", "S 8845-2021")</f>
        <v/>
      </c>
      <c r="Z3">
        <f>HYPERLINK("https://klasma.github.io/Logging_1267/klagomålsmail/S 8845-2021 FSC-klagomål mail.docx", "S 8845-2021")</f>
        <v/>
      </c>
      <c r="AA3">
        <f>HYPERLINK("https://klasma.github.io/Logging_1267/tillsyn/S 8845-2021 tillsynsbegäran.docx", "S 8845-2021")</f>
        <v/>
      </c>
      <c r="AB3">
        <f>HYPERLINK("https://klasma.github.io/Logging_1267/tillsynsmail/S 8845-2021 tillsynsbegäran mail.docx", "S 8845-2021")</f>
        <v/>
      </c>
      <c r="AC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46216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s="2" t="inlineStr">
        <is>
          <t>Bokvårtlav
Stiftklotterlav
Vårärt
Klippfrullania
Kransrams
Myskmadra
Trädporella
Västlig hakmossa
Blåsippa</t>
        </is>
      </c>
      <c r="V4">
        <f>HYPERLINK("https://klasma.github.io/Logging_1267/artfynd/A 60427-2022 artfynd.xlsx", "A 60427-2022")</f>
        <v/>
      </c>
      <c r="W4">
        <f>HYPERLINK("https://klasma.github.io/Logging_1267/kartor/A 60427-2022 karta.png", "A 60427-2022")</f>
        <v/>
      </c>
      <c r="Y4">
        <f>HYPERLINK("https://klasma.github.io/Logging_1267/klagomål/A 60427-2022 FSC-klagomål.docx", "A 60427-2022")</f>
        <v/>
      </c>
      <c r="Z4">
        <f>HYPERLINK("https://klasma.github.io/Logging_1267/klagomålsmail/A 60427-2022 FSC-klagomål mail.docx", "A 60427-2022")</f>
        <v/>
      </c>
      <c r="AA4">
        <f>HYPERLINK("https://klasma.github.io/Logging_1267/tillsyn/A 60427-2022 tillsynsbegäran.docx", "A 60427-2022")</f>
        <v/>
      </c>
      <c r="AB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46216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s="2" t="inlineStr">
        <is>
          <t>Barbastell
Brunlångöra
Fransfladdermus
Nordfladdermus
Dvärgpipistrell
Gråskimlig fladdermus
Större brunfladdermus
Trollpipistrell
Vattenfladdermus</t>
        </is>
      </c>
      <c r="V5">
        <f>HYPERLINK("https://klasma.github.io/Logging_1267/artfynd/A 70984-2021 artfynd.xlsx", "A 70984-2021")</f>
        <v/>
      </c>
      <c r="W5">
        <f>HYPERLINK("https://klasma.github.io/Logging_1267/kartor/A 70984-2021 karta.png", "A 70984-2021")</f>
        <v/>
      </c>
      <c r="Y5">
        <f>HYPERLINK("https://klasma.github.io/Logging_1267/klagomål/A 70984-2021 FSC-klagomål.docx", "A 70984-2021")</f>
        <v/>
      </c>
      <c r="Z5">
        <f>HYPERLINK("https://klasma.github.io/Logging_1267/klagomålsmail/A 70984-2021 FSC-klagomål mail.docx", "A 70984-2021")</f>
        <v/>
      </c>
      <c r="AA5">
        <f>HYPERLINK("https://klasma.github.io/Logging_1267/tillsyn/A 70984-2021 tillsynsbegäran.docx", "A 70984-2021")</f>
        <v/>
      </c>
      <c r="AB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46216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s="2" t="inlineStr">
        <is>
          <t>Grönfink
Gulsparv
Spillkråka
Buskskvätta
Gröngöling
Trana
Törnskata
Ärtsångare</t>
        </is>
      </c>
      <c r="V6">
        <f>HYPERLINK("https://klasma.github.io/Logging_1267/artfynd/A 22392-2022 artfynd.xlsx", "A 22392-2022")</f>
        <v/>
      </c>
      <c r="W6">
        <f>HYPERLINK("https://klasma.github.io/Logging_1267/kartor/A 22392-2022 karta.png", "A 22392-2022")</f>
        <v/>
      </c>
      <c r="Y6">
        <f>HYPERLINK("https://klasma.github.io/Logging_1267/klagomål/A 22392-2022 FSC-klagomål.docx", "A 22392-2022")</f>
        <v/>
      </c>
      <c r="Z6">
        <f>HYPERLINK("https://klasma.github.io/Logging_1267/klagomålsmail/A 22392-2022 FSC-klagomål mail.docx", "A 22392-2022")</f>
        <v/>
      </c>
      <c r="AA6">
        <f>HYPERLINK("https://klasma.github.io/Logging_1267/tillsyn/A 22392-2022 tillsynsbegäran.docx", "A 22392-2022")</f>
        <v/>
      </c>
      <c r="AB6">
        <f>HYPERLINK("https://klasma.github.io/Logging_1267/tillsynsmail/A 22392-2022 tillsynsbegäran mail.docx", "A 22392-2022")</f>
        <v/>
      </c>
      <c r="AC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46216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s="2" t="inlineStr">
        <is>
          <t>Grönfink
Entita
Gulsparv
Rödvingetrast
Spillkråka
Grönsiska
Kungsfågel
Röd glada</t>
        </is>
      </c>
      <c r="V7">
        <f>HYPERLINK("https://klasma.github.io/Logging_1267/artfynd/A 13475-2024 artfynd.xlsx", "A 13475-2024")</f>
        <v/>
      </c>
      <c r="W7">
        <f>HYPERLINK("https://klasma.github.io/Logging_1267/kartor/A 13475-2024 karta.png", "A 13475-2024")</f>
        <v/>
      </c>
      <c r="Y7">
        <f>HYPERLINK("https://klasma.github.io/Logging_1267/klagomål/A 13475-2024 FSC-klagomål.docx", "A 13475-2024")</f>
        <v/>
      </c>
      <c r="Z7">
        <f>HYPERLINK("https://klasma.github.io/Logging_1267/klagomålsmail/A 13475-2024 FSC-klagomål mail.docx", "A 13475-2024")</f>
        <v/>
      </c>
      <c r="AA7">
        <f>HYPERLINK("https://klasma.github.io/Logging_1267/tillsyn/A 13475-2024 tillsynsbegäran.docx", "A 13475-2024")</f>
        <v/>
      </c>
      <c r="AB7">
        <f>HYPERLINK("https://klasma.github.io/Logging_1267/tillsynsmail/A 13475-2024 tillsynsbegäran mail.docx", "A 13475-2024")</f>
        <v/>
      </c>
      <c r="AC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46216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Backsippa
Småvänderot
Gullpudra
Dvärghäxört
Liten stinksvamp
Grönvit nattviol</t>
        </is>
      </c>
      <c r="V8">
        <f>HYPERLINK("https://klasma.github.io/Logging_1267/artfynd/A 19517-2023 artfynd.xlsx", "A 19517-2023")</f>
        <v/>
      </c>
      <c r="W8">
        <f>HYPERLINK("https://klasma.github.io/Logging_1267/kartor/A 19517-2023 karta.png", "A 19517-2023")</f>
        <v/>
      </c>
      <c r="Y8">
        <f>HYPERLINK("https://klasma.github.io/Logging_1267/klagomål/A 19517-2023 FSC-klagomål.docx", "A 19517-2023")</f>
        <v/>
      </c>
      <c r="Z8">
        <f>HYPERLINK("https://klasma.github.io/Logging_1267/klagomålsmail/A 19517-2023 FSC-klagomål mail.docx", "A 19517-2023")</f>
        <v/>
      </c>
      <c r="AA8">
        <f>HYPERLINK("https://klasma.github.io/Logging_1267/tillsyn/A 19517-2023 tillsynsbegäran.docx", "A 19517-2023")</f>
        <v/>
      </c>
      <c r="AB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46216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s="2" t="inlineStr">
        <is>
          <t>Savlundlav
Igelkott
Koralltaggsvamp
Talltita
Skogsbräsma
Revlummer</t>
        </is>
      </c>
      <c r="V9">
        <f>HYPERLINK("https://klasma.github.io/Logging_1267/artfynd/S 8853-2021 artfynd.xlsx", "S 8853-2021")</f>
        <v/>
      </c>
      <c r="W9">
        <f>HYPERLINK("https://klasma.github.io/Logging_1267/kartor/S 8853-2021 karta.png", "S 8853-2021")</f>
        <v/>
      </c>
      <c r="Y9">
        <f>HYPERLINK("https://klasma.github.io/Logging_1267/klagomål/S 8853-2021 FSC-klagomål.docx", "S 8853-2021")</f>
        <v/>
      </c>
      <c r="Z9">
        <f>HYPERLINK("https://klasma.github.io/Logging_1267/klagomålsmail/S 8853-2021 FSC-klagomål mail.docx", "S 8853-2021")</f>
        <v/>
      </c>
      <c r="AA9">
        <f>HYPERLINK("https://klasma.github.io/Logging_1267/tillsyn/S 8853-2021 tillsynsbegäran.docx", "S 8853-2021")</f>
        <v/>
      </c>
      <c r="AB9">
        <f>HYPERLINK("https://klasma.github.io/Logging_1267/tillsynsmail/S 8853-2021 tillsynsbegäran mail.docx", "S 8853-2021")</f>
        <v/>
      </c>
      <c r="AC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46216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s="2" t="inlineStr">
        <is>
          <t>Björktrast
Rödvingetrast
Spillkråka
Sångsvan
Trana</t>
        </is>
      </c>
      <c r="V10">
        <f>HYPERLINK("https://klasma.github.io/Logging_1267/artfynd/A 24278-2023 artfynd.xlsx", "A 24278-2023")</f>
        <v/>
      </c>
      <c r="W10">
        <f>HYPERLINK("https://klasma.github.io/Logging_1267/kartor/A 24278-2023 karta.png", "A 24278-2023")</f>
        <v/>
      </c>
      <c r="Y10">
        <f>HYPERLINK("https://klasma.github.io/Logging_1267/klagomål/A 24278-2023 FSC-klagomål.docx", "A 24278-2023")</f>
        <v/>
      </c>
      <c r="Z10">
        <f>HYPERLINK("https://klasma.github.io/Logging_1267/klagomålsmail/A 24278-2023 FSC-klagomål mail.docx", "A 24278-2023")</f>
        <v/>
      </c>
      <c r="AA10">
        <f>HYPERLINK("https://klasma.github.io/Logging_1267/tillsyn/A 24278-2023 tillsynsbegäran.docx", "A 24278-2023")</f>
        <v/>
      </c>
      <c r="AB10">
        <f>HYPERLINK("https://klasma.github.io/Logging_1267/tillsynsmail/A 24278-2023 tillsynsbegäran mail.docx", "A 24278-2023")</f>
        <v/>
      </c>
      <c r="AC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46216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Grönsångare
Småjungfrukam
Spillkråka
Kungsfågel
Skogsduva</t>
        </is>
      </c>
      <c r="V11">
        <f>HYPERLINK("https://klasma.github.io/Logging_1267/artfynd/A 8315-2026 artfynd.xlsx", "A 8315-2026")</f>
        <v/>
      </c>
      <c r="W11">
        <f>HYPERLINK("https://klasma.github.io/Logging_1267/kartor/A 8315-2026 karta.png", "A 8315-2026")</f>
        <v/>
      </c>
      <c r="Y11">
        <f>HYPERLINK("https://klasma.github.io/Logging_1267/klagomål/A 8315-2026 FSC-klagomål.docx", "A 8315-2026")</f>
        <v/>
      </c>
      <c r="Z11">
        <f>HYPERLINK("https://klasma.github.io/Logging_1267/klagomålsmail/A 8315-2026 FSC-klagomål mail.docx", "A 8315-2026")</f>
        <v/>
      </c>
      <c r="AA11">
        <f>HYPERLINK("https://klasma.github.io/Logging_1267/tillsyn/A 8315-2026 tillsynsbegäran.docx", "A 8315-2026")</f>
        <v/>
      </c>
      <c r="AB11">
        <f>HYPERLINK("https://klasma.github.io/Logging_1267/tillsynsmail/A 8315-2026 tillsynsbegäran mail.docx", "A 8315-2026")</f>
        <v/>
      </c>
      <c r="AC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46216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s="2" t="inlineStr">
        <is>
          <t>Brunfläckig pärlemorfjäril
Loppstarr
Ängsstarr
Bandpraktmossa
Sankt pers nycklar</t>
        </is>
      </c>
      <c r="V12">
        <f>HYPERLINK("https://klasma.github.io/Logging_1267/artfynd/A 42692-2022 artfynd.xlsx", "A 42692-2022")</f>
        <v/>
      </c>
      <c r="W12">
        <f>HYPERLINK("https://klasma.github.io/Logging_1267/kartor/A 42692-2022 karta.png", "A 42692-2022")</f>
        <v/>
      </c>
      <c r="Y12">
        <f>HYPERLINK("https://klasma.github.io/Logging_1267/klagomål/A 42692-2022 FSC-klagomål.docx", "A 42692-2022")</f>
        <v/>
      </c>
      <c r="Z12">
        <f>HYPERLINK("https://klasma.github.io/Logging_1267/klagomålsmail/A 42692-2022 FSC-klagomål mail.docx", "A 42692-2022")</f>
        <v/>
      </c>
      <c r="AA12">
        <f>HYPERLINK("https://klasma.github.io/Logging_1267/tillsyn/A 42692-2022 tillsynsbegäran.docx", "A 42692-2022")</f>
        <v/>
      </c>
      <c r="AB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46216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Större brunfladdermus
Vattenfladdermus</t>
        </is>
      </c>
      <c r="V13">
        <f>HYPERLINK("https://klasma.github.io/Logging_1267/artfynd/A 2787-2024 artfynd.xlsx", "A 2787-2024")</f>
        <v/>
      </c>
      <c r="W13">
        <f>HYPERLINK("https://klasma.github.io/Logging_1267/kartor/A 2787-2024 karta.png", "A 2787-2024")</f>
        <v/>
      </c>
      <c r="Y13">
        <f>HYPERLINK("https://klasma.github.io/Logging_1267/klagomål/A 2787-2024 FSC-klagomål.docx", "A 2787-2024")</f>
        <v/>
      </c>
      <c r="Z13">
        <f>HYPERLINK("https://klasma.github.io/Logging_1267/klagomålsmail/A 2787-2024 FSC-klagomål mail.docx", "A 2787-2024")</f>
        <v/>
      </c>
      <c r="AA13">
        <f>HYPERLINK("https://klasma.github.io/Logging_1267/tillsyn/A 2787-2024 tillsynsbegäran.docx", "A 2787-2024")</f>
        <v/>
      </c>
      <c r="AB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46216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s="2" t="inlineStr">
        <is>
          <t>Igelkott
Kungsfiskare
Ägretthäger
Fiskgjuse</t>
        </is>
      </c>
      <c r="V14">
        <f>HYPERLINK("https://klasma.github.io/Logging_1267/artfynd/A 30603-2026 artfynd.xlsx", "A 30603-2026")</f>
        <v/>
      </c>
      <c r="W14">
        <f>HYPERLINK("https://klasma.github.io/Logging_1267/kartor/A 30603-2026 karta.png", "A 30603-2026")</f>
        <v/>
      </c>
      <c r="Y14">
        <f>HYPERLINK("https://klasma.github.io/Logging_1267/klagomål/A 30603-2026 FSC-klagomål.docx", "A 30603-2026")</f>
        <v/>
      </c>
      <c r="Z14">
        <f>HYPERLINK("https://klasma.github.io/Logging_1267/klagomålsmail/A 30603-2026 FSC-klagomål mail.docx", "A 30603-2026")</f>
        <v/>
      </c>
      <c r="AA14">
        <f>HYPERLINK("https://klasma.github.io/Logging_1267/tillsyn/A 30603-2026 tillsynsbegäran.docx", "A 30603-2026")</f>
        <v/>
      </c>
      <c r="AB14">
        <f>HYPERLINK("https://klasma.github.io/Logging_1267/tillsynsmail/A 30603-2026 tillsynsbegäran mail.docx", "A 30603-2026")</f>
        <v/>
      </c>
      <c r="AC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46216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s="2" t="inlineStr">
        <is>
          <t>Tofsvipa
Tornseglare
Gröngöling</t>
        </is>
      </c>
      <c r="V15">
        <f>HYPERLINK("https://klasma.github.io/Logging_1267/artfynd/A 12111-2025 artfynd.xlsx", "A 12111-2025")</f>
        <v/>
      </c>
      <c r="W15">
        <f>HYPERLINK("https://klasma.github.io/Logging_1267/kartor/A 12111-2025 karta.png", "A 12111-2025")</f>
        <v/>
      </c>
      <c r="Y15">
        <f>HYPERLINK("https://klasma.github.io/Logging_1267/klagomål/A 12111-2025 FSC-klagomål.docx", "A 12111-2025")</f>
        <v/>
      </c>
      <c r="Z15">
        <f>HYPERLINK("https://klasma.github.io/Logging_1267/klagomålsmail/A 12111-2025 FSC-klagomål mail.docx", "A 12111-2025")</f>
        <v/>
      </c>
      <c r="AA15">
        <f>HYPERLINK("https://klasma.github.io/Logging_1267/tillsyn/A 12111-2025 tillsynsbegäran.docx", "A 12111-2025")</f>
        <v/>
      </c>
      <c r="AB15">
        <f>HYPERLINK("https://klasma.github.io/Logging_1267/tillsynsmail/A 12111-2025 tillsynsbegäran mail.docx", "A 12111-2025")</f>
        <v/>
      </c>
      <c r="AC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46216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Kösa
Åkerkulla
Skogsödla</t>
        </is>
      </c>
      <c r="V16">
        <f>HYPERLINK("https://klasma.github.io/Logging_1267/artfynd/A 7616-2024 artfynd.xlsx", "A 7616-2024")</f>
        <v/>
      </c>
      <c r="W16">
        <f>HYPERLINK("https://klasma.github.io/Logging_1267/kartor/A 7616-2024 karta.png", "A 7616-2024")</f>
        <v/>
      </c>
      <c r="Y16">
        <f>HYPERLINK("https://klasma.github.io/Logging_1267/klagomål/A 7616-2024 FSC-klagomål.docx", "A 7616-2024")</f>
        <v/>
      </c>
      <c r="Z16">
        <f>HYPERLINK("https://klasma.github.io/Logging_1267/klagomålsmail/A 7616-2024 FSC-klagomål mail.docx", "A 7616-2024")</f>
        <v/>
      </c>
      <c r="AA16">
        <f>HYPERLINK("https://klasma.github.io/Logging_1267/tillsyn/A 7616-2024 tillsynsbegäran.docx", "A 7616-2024")</f>
        <v/>
      </c>
      <c r="AB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46216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s="2" t="inlineStr">
        <is>
          <t>Ask
Murgröna
Nattviol</t>
        </is>
      </c>
      <c r="V17">
        <f>HYPERLINK("https://klasma.github.io/Logging_1267/artfynd/A 30645-2022 artfynd.xlsx", "A 30645-2022")</f>
        <v/>
      </c>
      <c r="W17">
        <f>HYPERLINK("https://klasma.github.io/Logging_1267/kartor/A 30645-2022 karta.png", "A 30645-2022")</f>
        <v/>
      </c>
      <c r="Y17">
        <f>HYPERLINK("https://klasma.github.io/Logging_1267/klagomål/A 30645-2022 FSC-klagomål.docx", "A 30645-2022")</f>
        <v/>
      </c>
      <c r="Z17">
        <f>HYPERLINK("https://klasma.github.io/Logging_1267/klagomålsmail/A 30645-2022 FSC-klagomål mail.docx", "A 30645-2022")</f>
        <v/>
      </c>
      <c r="AA17">
        <f>HYPERLINK("https://klasma.github.io/Logging_1267/tillsyn/A 30645-2022 tillsynsbegäran.docx", "A 30645-2022")</f>
        <v/>
      </c>
      <c r="AB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46216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s="2" t="inlineStr">
        <is>
          <t>Skogsalm
Mörk dunört
Grönvit nattviol</t>
        </is>
      </c>
      <c r="V18">
        <f>HYPERLINK("https://klasma.github.io/Logging_1267/artfynd/S 2917-2022 artfynd.xlsx", "S 2917-2022")</f>
        <v/>
      </c>
      <c r="W18">
        <f>HYPERLINK("https://klasma.github.io/Logging_1267/kartor/S 2917-2022 karta.png", "S 2917-2022")</f>
        <v/>
      </c>
      <c r="Y18">
        <f>HYPERLINK("https://klasma.github.io/Logging_1267/klagomål/S 2917-2022 FSC-klagomål.docx", "S 2917-2022")</f>
        <v/>
      </c>
      <c r="Z18">
        <f>HYPERLINK("https://klasma.github.io/Logging_1267/klagomålsmail/S 2917-2022 FSC-klagomål mail.docx", "S 2917-2022")</f>
        <v/>
      </c>
      <c r="AA18">
        <f>HYPERLINK("https://klasma.github.io/Logging_1267/tillsyn/S 2917-2022 tillsynsbegäran.docx", "S 2917-2022")</f>
        <v/>
      </c>
      <c r="AB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46216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s="2" t="inlineStr">
        <is>
          <t>Småvänderot
Liten stinksvamp
Grönvit nattviol</t>
        </is>
      </c>
      <c r="V19">
        <f>HYPERLINK("https://klasma.github.io/Logging_1267/artfynd/S 3290-2023 artfynd.xlsx", "S 3290-2023")</f>
        <v/>
      </c>
      <c r="W19">
        <f>HYPERLINK("https://klasma.github.io/Logging_1267/kartor/S 3290-2023 karta.png", "S 3290-2023")</f>
        <v/>
      </c>
      <c r="Y19">
        <f>HYPERLINK("https://klasma.github.io/Logging_1267/klagomål/S 3290-2023 FSC-klagomål.docx", "S 3290-2023")</f>
        <v/>
      </c>
      <c r="Z19">
        <f>HYPERLINK("https://klasma.github.io/Logging_1267/klagomålsmail/S 3290-2023 FSC-klagomål mail.docx", "S 3290-2023")</f>
        <v/>
      </c>
      <c r="AA19">
        <f>HYPERLINK("https://klasma.github.io/Logging_1267/tillsyn/S 3290-2023 tillsynsbegäran.docx", "S 3290-2023")</f>
        <v/>
      </c>
      <c r="AB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46216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Igelkott
Talltita
Skogsbräsma</t>
        </is>
      </c>
      <c r="V20">
        <f>HYPERLINK("https://klasma.github.io/Logging_1267/artfynd/S 8867-2021 artfynd.xlsx", "S 8867-2021")</f>
        <v/>
      </c>
      <c r="W20">
        <f>HYPERLINK("https://klasma.github.io/Logging_1267/kartor/S 8867-2021 karta.png", "S 8867-2021")</f>
        <v/>
      </c>
      <c r="Y20">
        <f>HYPERLINK("https://klasma.github.io/Logging_1267/klagomål/S 8867-2021 FSC-klagomål.docx", "S 8867-2021")</f>
        <v/>
      </c>
      <c r="Z20">
        <f>HYPERLINK("https://klasma.github.io/Logging_1267/klagomålsmail/S 8867-2021 FSC-klagomål mail.docx", "S 8867-2021")</f>
        <v/>
      </c>
      <c r="AA20">
        <f>HYPERLINK("https://klasma.github.io/Logging_1267/tillsyn/S 8867-2021 tillsynsbegäran.docx", "S 8867-2021")</f>
        <v/>
      </c>
      <c r="AB20">
        <f>HYPERLINK("https://klasma.github.io/Logging_1267/tillsynsmail/S 8867-2021 tillsynsbegäran mail.docx", "S 8867-2021")</f>
        <v/>
      </c>
      <c r="AC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46216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Mindre hackspett
Gröngöling</t>
        </is>
      </c>
      <c r="V21">
        <f>HYPERLINK("https://klasma.github.io/Logging_1267/artfynd/A 8443-2022 artfynd.xlsx", "A 8443-2022")</f>
        <v/>
      </c>
      <c r="W21">
        <f>HYPERLINK("https://klasma.github.io/Logging_1267/kartor/A 8443-2022 karta.png", "A 8443-2022")</f>
        <v/>
      </c>
      <c r="Y21">
        <f>HYPERLINK("https://klasma.github.io/Logging_1267/klagomål/A 8443-2022 FSC-klagomål.docx", "A 8443-2022")</f>
        <v/>
      </c>
      <c r="Z21">
        <f>HYPERLINK("https://klasma.github.io/Logging_1267/klagomålsmail/A 8443-2022 FSC-klagomål mail.docx", "A 8443-2022")</f>
        <v/>
      </c>
      <c r="AA21">
        <f>HYPERLINK("https://klasma.github.io/Logging_1267/tillsyn/A 8443-2022 tillsynsbegäran.docx", "A 8443-2022")</f>
        <v/>
      </c>
      <c r="AB21">
        <f>HYPERLINK("https://klasma.github.io/Logging_1267/tillsynsmail/A 8443-2022 tillsynsbegäran mail.docx", "A 8443-2022")</f>
        <v/>
      </c>
      <c r="AC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46216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Skogsbräsma
Revlummer</t>
        </is>
      </c>
      <c r="V22">
        <f>HYPERLINK("https://klasma.github.io/Logging_1267/artfynd/A 2942-2024 artfynd.xlsx", "A 2942-2024")</f>
        <v/>
      </c>
      <c r="W22">
        <f>HYPERLINK("https://klasma.github.io/Logging_1267/kartor/A 2942-2024 karta.png", "A 2942-2024")</f>
        <v/>
      </c>
      <c r="Y22">
        <f>HYPERLINK("https://klasma.github.io/Logging_1267/klagomål/A 2942-2024 FSC-klagomål.docx", "A 2942-2024")</f>
        <v/>
      </c>
      <c r="Z22">
        <f>HYPERLINK("https://klasma.github.io/Logging_1267/klagomålsmail/A 2942-2024 FSC-klagomål mail.docx", "A 2942-2024")</f>
        <v/>
      </c>
      <c r="AA22">
        <f>HYPERLINK("https://klasma.github.io/Logging_1267/tillsyn/A 2942-2024 tillsynsbegäran.docx", "A 2942-2024")</f>
        <v/>
      </c>
      <c r="AB22">
        <f>HYPERLINK("https://klasma.github.io/Logging_1267/tillsynsmail/A 2942-2024 tillsynsbegäran mail.docx", "A 2942-2024")</f>
        <v/>
      </c>
    </row>
    <row r="23" ht="15" customHeight="1">
      <c r="A23" t="inlineStr">
        <is>
          <t>A 45241-2025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46216</v>
      </c>
      <c r="F23" t="inlineStr">
        <is>
          <t>SKÅNE LÄN</t>
        </is>
      </c>
      <c r="G23" t="inlineStr">
        <is>
          <t>HÖÖR</t>
        </is>
      </c>
      <c r="I23" t="n">
        <v>9.699999999999999</v>
      </c>
      <c r="J23" t="n">
        <v>0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s="2" t="inlineStr">
        <is>
          <t>Flodpärlmussla
Örlav</t>
        </is>
      </c>
      <c r="V23">
        <f>HYPERLINK("https://klasma.github.io/Logging_1267/artfynd/A 45241-2025 artfynd.xlsx", "A 45241-2025")</f>
        <v/>
      </c>
      <c r="W23">
        <f>HYPERLINK("https://klasma.github.io/Logging_1267/kartor/A 45241-2025 karta.png", "A 45241-2025")</f>
        <v/>
      </c>
      <c r="Y23">
        <f>HYPERLINK("https://klasma.github.io/Logging_1267/klagomål/A 45241-2025 FSC-klagomål.docx", "A 45241-2025")</f>
        <v/>
      </c>
      <c r="Z23">
        <f>HYPERLINK("https://klasma.github.io/Logging_1267/klagomålsmail/A 45241-2025 FSC-klagomål mail.docx", "A 45241-2025")</f>
        <v/>
      </c>
      <c r="AA23">
        <f>HYPERLINK("https://klasma.github.io/Logging_1267/tillsyn/A 45241-2025 tillsynsbegäran.docx", "A 45241-2025")</f>
        <v/>
      </c>
      <c r="AB23">
        <f>HYPERLINK("https://klasma.github.io/Logging_1267/tillsynsmail/A 45241-2025 tillsynsbegäran mail.docx", "A 45241-2025")</f>
        <v/>
      </c>
    </row>
    <row r="24" ht="15" customHeight="1">
      <c r="A24" t="inlineStr">
        <is>
          <t>A 61690-2025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46002</v>
      </c>
      <c r="E24" s="1" t="n">
        <v>46216</v>
      </c>
      <c r="F24" t="inlineStr">
        <is>
          <t>SKÅNE LÄN</t>
        </is>
      </c>
      <c r="G24" t="inlineStr">
        <is>
          <t>HÖÖR</t>
        </is>
      </c>
      <c r="I24" t="n">
        <v>2.1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s="2" t="inlineStr">
        <is>
          <t>Violettkantad guldvinge
Kambräken</t>
        </is>
      </c>
      <c r="V24">
        <f>HYPERLINK("https://klasma.github.io/Logging_1267/artfynd/A 61690-2025 artfynd.xlsx", "A 61690-2025")</f>
        <v/>
      </c>
      <c r="W24">
        <f>HYPERLINK("https://klasma.github.io/Logging_1267/kartor/A 61690-2025 karta.png", "A 61690-2025")</f>
        <v/>
      </c>
      <c r="Y24">
        <f>HYPERLINK("https://klasma.github.io/Logging_1267/klagomål/A 61690-2025 FSC-klagomål.docx", "A 61690-2025")</f>
        <v/>
      </c>
      <c r="Z24">
        <f>HYPERLINK("https://klasma.github.io/Logging_1267/klagomålsmail/A 61690-2025 FSC-klagomål mail.docx", "A 61690-2025")</f>
        <v/>
      </c>
      <c r="AA24">
        <f>HYPERLINK("https://klasma.github.io/Logging_1267/tillsyn/A 61690-2025 tillsynsbegäran.docx", "A 61690-2025")</f>
        <v/>
      </c>
      <c r="AB24">
        <f>HYPERLINK("https://klasma.github.io/Logging_1267/tillsynsmail/A 61690-2025 tillsynsbegäran mail.docx", "A 61690-2025")</f>
        <v/>
      </c>
    </row>
    <row r="25" ht="15" customHeight="1">
      <c r="A25" t="inlineStr">
        <is>
          <t>A 8329-2026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46216</v>
      </c>
      <c r="F25" t="inlineStr">
        <is>
          <t>SKÅNE LÄN</t>
        </is>
      </c>
      <c r="G25" t="inlineStr">
        <is>
          <t>HÖÖR</t>
        </is>
      </c>
      <c r="I25" t="n">
        <v>2.2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Grönsångare
Spillkråka</t>
        </is>
      </c>
      <c r="V25">
        <f>HYPERLINK("https://klasma.github.io/Logging_1267/artfynd/A 8329-2026 artfynd.xlsx", "A 8329-2026")</f>
        <v/>
      </c>
      <c r="W25">
        <f>HYPERLINK("https://klasma.github.io/Logging_1267/kartor/A 8329-2026 karta.png", "A 8329-2026")</f>
        <v/>
      </c>
      <c r="Y25">
        <f>HYPERLINK("https://klasma.github.io/Logging_1267/klagomål/A 8329-2026 FSC-klagomål.docx", "A 8329-2026")</f>
        <v/>
      </c>
      <c r="Z25">
        <f>HYPERLINK("https://klasma.github.io/Logging_1267/klagomålsmail/A 8329-2026 FSC-klagomål mail.docx", "A 8329-2026")</f>
        <v/>
      </c>
      <c r="AA25">
        <f>HYPERLINK("https://klasma.github.io/Logging_1267/tillsyn/A 8329-2026 tillsynsbegäran.docx", "A 8329-2026")</f>
        <v/>
      </c>
      <c r="AB25">
        <f>HYPERLINK("https://klasma.github.io/Logging_1267/tillsynsmail/A 8329-2026 tillsynsbegäran mail.docx", "A 8329-2026")</f>
        <v/>
      </c>
      <c r="AC25">
        <f>HYPERLINK("https://klasma.github.io/Logging_1267/fåglar/A 8329-2026 prioriterade fågelarter.docx", "A 8329-2026")</f>
        <v/>
      </c>
    </row>
    <row r="26" ht="15" customHeight="1">
      <c r="A26" t="inlineStr">
        <is>
          <t>A 24597-2026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46216</v>
      </c>
      <c r="F26" t="inlineStr">
        <is>
          <t>SKÅNE LÄN</t>
        </is>
      </c>
      <c r="G26" t="inlineStr">
        <is>
          <t>HÖÖR</t>
        </is>
      </c>
      <c r="I26" t="n">
        <v>5.9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s="2" t="inlineStr">
        <is>
          <t>Entita
Grönsångare</t>
        </is>
      </c>
      <c r="V26">
        <f>HYPERLINK("https://klasma.github.io/Logging_1267/artfynd/A 24597-2026 artfynd.xlsx", "A 24597-2026")</f>
        <v/>
      </c>
      <c r="W26">
        <f>HYPERLINK("https://klasma.github.io/Logging_1267/kartor/A 24597-2026 karta.png", "A 24597-2026")</f>
        <v/>
      </c>
      <c r="Y26">
        <f>HYPERLINK("https://klasma.github.io/Logging_1267/klagomål/A 24597-2026 FSC-klagomål.docx", "A 24597-2026")</f>
        <v/>
      </c>
      <c r="Z26">
        <f>HYPERLINK("https://klasma.github.io/Logging_1267/klagomålsmail/A 24597-2026 FSC-klagomål mail.docx", "A 24597-2026")</f>
        <v/>
      </c>
      <c r="AA26">
        <f>HYPERLINK("https://klasma.github.io/Logging_1267/tillsyn/A 24597-2026 tillsynsbegäran.docx", "A 24597-2026")</f>
        <v/>
      </c>
      <c r="AB26">
        <f>HYPERLINK("https://klasma.github.io/Logging_1267/tillsynsmail/A 24597-2026 tillsynsbegäran mail.docx", "A 24597-2026")</f>
        <v/>
      </c>
      <c r="AC26">
        <f>HYPERLINK("https://klasma.github.io/Logging_1267/fåglar/A 24597-2026 prioriterade fågelarter.docx", "A 24597-2026")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46216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Kärrbräken
Ängskovall</t>
        </is>
      </c>
      <c r="V27">
        <f>HYPERLINK("https://klasma.github.io/Logging_1267/artfynd/S 8923-2021 artfynd.xlsx", "S 8923-2021")</f>
        <v/>
      </c>
      <c r="W27">
        <f>HYPERLINK("https://klasma.github.io/Logging_1267/kartor/S 8923-2021 karta.png", "S 8923-2021")</f>
        <v/>
      </c>
      <c r="Y27">
        <f>HYPERLINK("https://klasma.github.io/Logging_1267/klagomål/S 8923-2021 FSC-klagomål.docx", "S 8923-2021")</f>
        <v/>
      </c>
      <c r="Z27">
        <f>HYPERLINK("https://klasma.github.io/Logging_1267/klagomålsmail/S 8923-2021 FSC-klagomål mail.docx", "S 8923-2021")</f>
        <v/>
      </c>
      <c r="AA27">
        <f>HYPERLINK("https://klasma.github.io/Logging_1267/tillsyn/S 8923-2021 tillsynsbegäran.docx", "S 8923-2021")</f>
        <v/>
      </c>
      <c r="AB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46216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Slåttergubbe
Getlav</t>
        </is>
      </c>
      <c r="V28">
        <f>HYPERLINK("https://klasma.github.io/Logging_1267/artfynd/S 6042-2022 artfynd.xlsx", "S 6042-2022")</f>
        <v/>
      </c>
      <c r="W28">
        <f>HYPERLINK("https://klasma.github.io/Logging_1267/kartor/S 6042-2022 karta.png", "S 6042-2022")</f>
        <v/>
      </c>
      <c r="Y28">
        <f>HYPERLINK("https://klasma.github.io/Logging_1267/klagomål/S 6042-2022 FSC-klagomål.docx", "S 6042-2022")</f>
        <v/>
      </c>
      <c r="Z28">
        <f>HYPERLINK("https://klasma.github.io/Logging_1267/klagomålsmail/S 6042-2022 FSC-klagomål mail.docx", "S 6042-2022")</f>
        <v/>
      </c>
      <c r="AA28">
        <f>HYPERLINK("https://klasma.github.io/Logging_1267/tillsyn/S 6042-2022 tillsynsbegäran.docx", "S 6042-2022")</f>
        <v/>
      </c>
      <c r="AB28">
        <f>HYPERLINK("https://klasma.github.io/Logging_1267/tillsynsmail/S 6042-2022 tillsynsbegäran mail.docx", "S 6042-2022")</f>
        <v/>
      </c>
    </row>
    <row r="29" ht="15" customHeight="1">
      <c r="A29" t="inlineStr">
        <is>
          <t>A 44327-2021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46216</v>
      </c>
      <c r="F29" t="inlineStr">
        <is>
          <t>SKÅNE LÄN</t>
        </is>
      </c>
      <c r="G29" t="inlineStr">
        <is>
          <t>HÖÖR</t>
        </is>
      </c>
      <c r="I29" t="n">
        <v>12.1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Årta</t>
        </is>
      </c>
      <c r="V29">
        <f>HYPERLINK("https://klasma.github.io/Logging_1267/artfynd/A 44327-2021 artfynd.xlsx", "A 44327-2021")</f>
        <v/>
      </c>
      <c r="W29">
        <f>HYPERLINK("https://klasma.github.io/Logging_1267/kartor/A 44327-2021 karta.png", "A 44327-2021")</f>
        <v/>
      </c>
      <c r="Y29">
        <f>HYPERLINK("https://klasma.github.io/Logging_1267/klagomål/A 44327-2021 FSC-klagomål.docx", "A 44327-2021")</f>
        <v/>
      </c>
      <c r="Z29">
        <f>HYPERLINK("https://klasma.github.io/Logging_1267/klagomålsmail/A 44327-2021 FSC-klagomål mail.docx", "A 44327-2021")</f>
        <v/>
      </c>
      <c r="AA29">
        <f>HYPERLINK("https://klasma.github.io/Logging_1267/tillsyn/A 44327-2021 tillsynsbegäran.docx", "A 44327-2021")</f>
        <v/>
      </c>
      <c r="AB29">
        <f>HYPERLINK("https://klasma.github.io/Logging_1267/tillsynsmail/A 44327-2021 tillsynsbegäran mail.docx", "A 44327-2021")</f>
        <v/>
      </c>
    </row>
    <row r="30" ht="15" customHeight="1">
      <c r="A30" t="inlineStr">
        <is>
          <t>A 18939-2022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46216</v>
      </c>
      <c r="F30" t="inlineStr">
        <is>
          <t>SKÅNE LÄN</t>
        </is>
      </c>
      <c r="G30" t="inlineStr">
        <is>
          <t>HÖÖR</t>
        </is>
      </c>
      <c r="I30" t="n">
        <v>1.5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Vätteros</t>
        </is>
      </c>
      <c r="V30">
        <f>HYPERLINK("https://klasma.github.io/Logging_1267/artfynd/A 18939-2022 artfynd.xlsx", "A 18939-2022")</f>
        <v/>
      </c>
      <c r="W30">
        <f>HYPERLINK("https://klasma.github.io/Logging_1267/kartor/A 18939-2022 karta.png", "A 18939-2022")</f>
        <v/>
      </c>
      <c r="Y30">
        <f>HYPERLINK("https://klasma.github.io/Logging_1267/klagomål/A 18939-2022 FSC-klagomål.docx", "A 18939-2022")</f>
        <v/>
      </c>
      <c r="Z30">
        <f>HYPERLINK("https://klasma.github.io/Logging_1267/klagomålsmail/A 18939-2022 FSC-klagomål mail.docx", "A 18939-2022")</f>
        <v/>
      </c>
      <c r="AA30">
        <f>HYPERLINK("https://klasma.github.io/Logging_1267/tillsyn/A 18939-2022 tillsynsbegäran.docx", "A 18939-2022")</f>
        <v/>
      </c>
      <c r="AB30">
        <f>HYPERLINK("https://klasma.github.io/Logging_1267/tillsynsmail/A 18939-2022 tillsynsbegäran mail.docx", "A 18939-2022")</f>
        <v/>
      </c>
    </row>
    <row r="31" ht="15" customHeight="1">
      <c r="A31" t="inlineStr">
        <is>
          <t>A 37286-2021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44390</v>
      </c>
      <c r="E31" s="1" t="n">
        <v>46216</v>
      </c>
      <c r="F31" t="inlineStr">
        <is>
          <t>SKÅNE LÄN</t>
        </is>
      </c>
      <c r="G31" t="inlineStr">
        <is>
          <t>HÖÖR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Småvänderot</t>
        </is>
      </c>
      <c r="V31">
        <f>HYPERLINK("https://klasma.github.io/Logging_1267/artfynd/A 37286-2021 artfynd.xlsx", "A 37286-2021")</f>
        <v/>
      </c>
      <c r="W31">
        <f>HYPERLINK("https://klasma.github.io/Logging_1267/kartor/A 37286-2021 karta.png", "A 37286-2021")</f>
        <v/>
      </c>
      <c r="Y31">
        <f>HYPERLINK("https://klasma.github.io/Logging_1267/klagomål/A 37286-2021 FSC-klagomål.docx", "A 37286-2021")</f>
        <v/>
      </c>
      <c r="Z31">
        <f>HYPERLINK("https://klasma.github.io/Logging_1267/klagomålsmail/A 37286-2021 FSC-klagomål mail.docx", "A 37286-2021")</f>
        <v/>
      </c>
      <c r="AA31">
        <f>HYPERLINK("https://klasma.github.io/Logging_1267/tillsyn/A 37286-2021 tillsynsbegäran.docx", "A 37286-2021")</f>
        <v/>
      </c>
      <c r="AB31">
        <f>HYPERLINK("https://klasma.github.io/Logging_1267/tillsynsmail/A 37286-2021 tillsynsbegäran mail.docx", "A 37286-2021")</f>
        <v/>
      </c>
    </row>
    <row r="32" ht="15" customHeight="1">
      <c r="A32" t="inlineStr">
        <is>
          <t>A 46919-2021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44446</v>
      </c>
      <c r="E32" s="1" t="n">
        <v>46216</v>
      </c>
      <c r="F32" t="inlineStr">
        <is>
          <t>SKÅNE LÄN</t>
        </is>
      </c>
      <c r="G32" t="inlineStr">
        <is>
          <t>HÖÖR</t>
        </is>
      </c>
      <c r="I32" t="n">
        <v>2.8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Strutbräken</t>
        </is>
      </c>
      <c r="V32">
        <f>HYPERLINK("https://klasma.github.io/Logging_1267/artfynd/A 46919-2021 artfynd.xlsx", "A 46919-2021")</f>
        <v/>
      </c>
      <c r="W32">
        <f>HYPERLINK("https://klasma.github.io/Logging_1267/kartor/A 46919-2021 karta.png", "A 46919-2021")</f>
        <v/>
      </c>
      <c r="Y32">
        <f>HYPERLINK("https://klasma.github.io/Logging_1267/klagomål/A 46919-2021 FSC-klagomål.docx", "A 46919-2021")</f>
        <v/>
      </c>
      <c r="Z32">
        <f>HYPERLINK("https://klasma.github.io/Logging_1267/klagomålsmail/A 46919-2021 FSC-klagomål mail.docx", "A 46919-2021")</f>
        <v/>
      </c>
      <c r="AA32">
        <f>HYPERLINK("https://klasma.github.io/Logging_1267/tillsyn/A 46919-2021 tillsynsbegäran.docx", "A 46919-2021")</f>
        <v/>
      </c>
      <c r="AB32">
        <f>HYPERLINK("https://klasma.github.io/Logging_1267/tillsynsmail/A 46919-2021 tillsynsbegäran mail.docx", "A 46919-2021")</f>
        <v/>
      </c>
    </row>
    <row r="33" ht="15" customHeight="1">
      <c r="A33" t="inlineStr">
        <is>
          <t>A 27233-2022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44741</v>
      </c>
      <c r="E33" s="1" t="n">
        <v>46216</v>
      </c>
      <c r="F33" t="inlineStr">
        <is>
          <t>SKÅNE LÄN</t>
        </is>
      </c>
      <c r="G33" t="inlineStr">
        <is>
          <t>HÖÖR</t>
        </is>
      </c>
      <c r="I33" t="n">
        <v>5.4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HYPERLINK("https://klasma.github.io/Logging_1267/artfynd/A 27233-2022 artfynd.xlsx", "A 27233-2022")</f>
        <v/>
      </c>
      <c r="W33">
        <f>HYPERLINK("https://klasma.github.io/Logging_1267/kartor/A 27233-2022 karta.png", "A 27233-2022")</f>
        <v/>
      </c>
      <c r="Y33">
        <f>HYPERLINK("https://klasma.github.io/Logging_1267/klagomål/A 27233-2022 FSC-klagomål.docx", "A 27233-2022")</f>
        <v/>
      </c>
      <c r="Z33">
        <f>HYPERLINK("https://klasma.github.io/Logging_1267/klagomålsmail/A 27233-2022 FSC-klagomål mail.docx", "A 27233-2022")</f>
        <v/>
      </c>
      <c r="AA33">
        <f>HYPERLINK("https://klasma.github.io/Logging_1267/tillsyn/A 27233-2022 tillsynsbegäran.docx", "A 27233-2022")</f>
        <v/>
      </c>
      <c r="AB33">
        <f>HYPERLINK("https://klasma.github.io/Logging_1267/tillsynsmail/A 27233-2022 tillsynsbegäran mail.docx", "A 27233-2022")</f>
        <v/>
      </c>
    </row>
    <row r="34" ht="15" customHeight="1">
      <c r="A34" t="inlineStr">
        <is>
          <t>A 42053-2023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45174</v>
      </c>
      <c r="E34" s="1" t="n">
        <v>46216</v>
      </c>
      <c r="F34" t="inlineStr">
        <is>
          <t>SKÅNE LÄN</t>
        </is>
      </c>
      <c r="G34" t="inlineStr">
        <is>
          <t>HÖÖR</t>
        </is>
      </c>
      <c r="I34" t="n">
        <v>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Småvänderot</t>
        </is>
      </c>
      <c r="V34">
        <f>HYPERLINK("https://klasma.github.io/Logging_1267/artfynd/A 42053-2023 artfynd.xlsx", "A 42053-2023")</f>
        <v/>
      </c>
      <c r="W34">
        <f>HYPERLINK("https://klasma.github.io/Logging_1267/kartor/A 42053-2023 karta.png", "A 42053-2023")</f>
        <v/>
      </c>
      <c r="Y34">
        <f>HYPERLINK("https://klasma.github.io/Logging_1267/klagomål/A 42053-2023 FSC-klagomål.docx", "A 42053-2023")</f>
        <v/>
      </c>
      <c r="Z34">
        <f>HYPERLINK("https://klasma.github.io/Logging_1267/klagomålsmail/A 42053-2023 FSC-klagomål mail.docx", "A 42053-2023")</f>
        <v/>
      </c>
      <c r="AA34">
        <f>HYPERLINK("https://klasma.github.io/Logging_1267/tillsyn/A 42053-2023 tillsynsbegäran.docx", "A 42053-2023")</f>
        <v/>
      </c>
      <c r="AB34">
        <f>HYPERLINK("https://klasma.github.io/Logging_1267/tillsynsmail/A 42053-2023 tillsynsbegäran mail.docx", "A 42053-2023")</f>
        <v/>
      </c>
    </row>
    <row r="35" ht="15" customHeight="1">
      <c r="A35" t="inlineStr">
        <is>
          <t>A 54753-2022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46216</v>
      </c>
      <c r="F35" t="inlineStr">
        <is>
          <t>SKÅNE LÄN</t>
        </is>
      </c>
      <c r="G35" t="inlineStr">
        <is>
          <t>HÖÖR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HYPERLINK("https://klasma.github.io/Logging_1267/artfynd/A 54753-2022 artfynd.xlsx", "A 54753-2022")</f>
        <v/>
      </c>
      <c r="W35">
        <f>HYPERLINK("https://klasma.github.io/Logging_1267/kartor/A 54753-2022 karta.png", "A 54753-2022")</f>
        <v/>
      </c>
      <c r="Y35">
        <f>HYPERLINK("https://klasma.github.io/Logging_1267/klagomål/A 54753-2022 FSC-klagomål.docx", "A 54753-2022")</f>
        <v/>
      </c>
      <c r="Z35">
        <f>HYPERLINK("https://klasma.github.io/Logging_1267/klagomålsmail/A 54753-2022 FSC-klagomål mail.docx", "A 54753-2022")</f>
        <v/>
      </c>
      <c r="AA35">
        <f>HYPERLINK("https://klasma.github.io/Logging_1267/tillsyn/A 54753-2022 tillsynsbegäran.docx", "A 54753-2022")</f>
        <v/>
      </c>
      <c r="AB35">
        <f>HYPERLINK("https://klasma.github.io/Logging_1267/tillsynsmail/A 54753-2022 tillsynsbegäran mail.docx", "A 54753-2022")</f>
        <v/>
      </c>
    </row>
    <row r="36" ht="15" customHeight="1">
      <c r="A36" t="inlineStr">
        <is>
          <t>A 45550-2025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45922</v>
      </c>
      <c r="E36" s="1" t="n">
        <v>46216</v>
      </c>
      <c r="F36" t="inlineStr">
        <is>
          <t>SKÅNE LÄN</t>
        </is>
      </c>
      <c r="G36" t="inlineStr">
        <is>
          <t>HÖÖR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Småvänderot</t>
        </is>
      </c>
      <c r="V36">
        <f>HYPERLINK("https://klasma.github.io/Logging_1267/artfynd/A 45550-2025 artfynd.xlsx", "A 45550-2025")</f>
        <v/>
      </c>
      <c r="W36">
        <f>HYPERLINK("https://klasma.github.io/Logging_1267/kartor/A 45550-2025 karta.png", "A 45550-2025")</f>
        <v/>
      </c>
      <c r="Y36">
        <f>HYPERLINK("https://klasma.github.io/Logging_1267/klagomål/A 45550-2025 FSC-klagomål.docx", "A 45550-2025")</f>
        <v/>
      </c>
      <c r="Z36">
        <f>HYPERLINK("https://klasma.github.io/Logging_1267/klagomålsmail/A 45550-2025 FSC-klagomål mail.docx", "A 45550-2025")</f>
        <v/>
      </c>
      <c r="AA36">
        <f>HYPERLINK("https://klasma.github.io/Logging_1267/tillsyn/A 45550-2025 tillsynsbegäran.docx", "A 45550-2025")</f>
        <v/>
      </c>
      <c r="AB36">
        <f>HYPERLINK("https://klasma.github.io/Logging_1267/tillsynsmail/A 45550-2025 tillsynsbegäran mail.docx", "A 45550-2025")</f>
        <v/>
      </c>
    </row>
    <row r="37" ht="15" customHeight="1">
      <c r="A37" t="inlineStr">
        <is>
          <t>A 3924-2024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46216</v>
      </c>
      <c r="F37" t="inlineStr">
        <is>
          <t>SKÅNE LÄN</t>
        </is>
      </c>
      <c r="G37" t="inlineStr">
        <is>
          <t>HÖÖR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Vitnoppa</t>
        </is>
      </c>
      <c r="V37">
        <f>HYPERLINK("https://klasma.github.io/Logging_1267/artfynd/A 3924-2024 artfynd.xlsx", "A 3924-2024")</f>
        <v/>
      </c>
      <c r="W37">
        <f>HYPERLINK("https://klasma.github.io/Logging_1267/kartor/A 3924-2024 karta.png", "A 3924-2024")</f>
        <v/>
      </c>
      <c r="Y37">
        <f>HYPERLINK("https://klasma.github.io/Logging_1267/klagomål/A 3924-2024 FSC-klagomål.docx", "A 3924-2024")</f>
        <v/>
      </c>
      <c r="Z37">
        <f>HYPERLINK("https://klasma.github.io/Logging_1267/klagomålsmail/A 3924-2024 FSC-klagomål mail.docx", "A 3924-2024")</f>
        <v/>
      </c>
      <c r="AA37">
        <f>HYPERLINK("https://klasma.github.io/Logging_1267/tillsyn/A 3924-2024 tillsynsbegäran.docx", "A 3924-2024")</f>
        <v/>
      </c>
      <c r="AB37">
        <f>HYPERLINK("https://klasma.github.io/Logging_1267/tillsynsmail/A 3924-2024 tillsynsbegäran mail.docx", "A 3924-2024")</f>
        <v/>
      </c>
    </row>
    <row r="38" ht="15" customHeight="1">
      <c r="A38" t="inlineStr">
        <is>
          <t>A 61007-2024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45645</v>
      </c>
      <c r="E38" s="1" t="n">
        <v>46216</v>
      </c>
      <c r="F38" t="inlineStr">
        <is>
          <t>SKÅNE LÄN</t>
        </is>
      </c>
      <c r="G38" t="inlineStr">
        <is>
          <t>HÖÖR</t>
        </is>
      </c>
      <c r="H38" t="inlineStr">
        <is>
          <t>Kommuner</t>
        </is>
      </c>
      <c r="I38" t="n">
        <v>0.5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Kungsfiskare</t>
        </is>
      </c>
      <c r="V38">
        <f>HYPERLINK("https://klasma.github.io/Logging_1267/artfynd/A 61007-2024 artfynd.xlsx", "A 61007-2024")</f>
        <v/>
      </c>
      <c r="W38">
        <f>HYPERLINK("https://klasma.github.io/Logging_1267/kartor/A 61007-2024 karta.png", "A 61007-2024")</f>
        <v/>
      </c>
      <c r="Y38">
        <f>HYPERLINK("https://klasma.github.io/Logging_1267/klagomål/A 61007-2024 FSC-klagomål.docx", "A 61007-2024")</f>
        <v/>
      </c>
      <c r="Z38">
        <f>HYPERLINK("https://klasma.github.io/Logging_1267/klagomålsmail/A 61007-2024 FSC-klagomål mail.docx", "A 61007-2024")</f>
        <v/>
      </c>
      <c r="AA38">
        <f>HYPERLINK("https://klasma.github.io/Logging_1267/tillsyn/A 61007-2024 tillsynsbegäran.docx", "A 61007-2024")</f>
        <v/>
      </c>
      <c r="AB38">
        <f>HYPERLINK("https://klasma.github.io/Logging_1267/tillsynsmail/A 61007-2024 tillsynsbegäran mail.docx", "A 61007-2024")</f>
        <v/>
      </c>
    </row>
    <row r="39" ht="15" customHeight="1">
      <c r="A39" t="inlineStr">
        <is>
          <t>A 27902-2023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45098</v>
      </c>
      <c r="E39" s="1" t="n">
        <v>46216</v>
      </c>
      <c r="F39" t="inlineStr">
        <is>
          <t>SKÅNE LÄN</t>
        </is>
      </c>
      <c r="G39" t="inlineStr">
        <is>
          <t>HÖÖR</t>
        </is>
      </c>
      <c r="I39" t="n">
        <v>10.3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Skogsalm</t>
        </is>
      </c>
      <c r="V39">
        <f>HYPERLINK("https://klasma.github.io/Logging_1267/artfynd/A 27902-2023 artfynd.xlsx", "A 27902-2023")</f>
        <v/>
      </c>
      <c r="W39">
        <f>HYPERLINK("https://klasma.github.io/Logging_1267/kartor/A 27902-2023 karta.png", "A 27902-2023")</f>
        <v/>
      </c>
      <c r="Y39">
        <f>HYPERLINK("https://klasma.github.io/Logging_1267/klagomål/A 27902-2023 FSC-klagomål.docx", "A 27902-2023")</f>
        <v/>
      </c>
      <c r="Z39">
        <f>HYPERLINK("https://klasma.github.io/Logging_1267/klagomålsmail/A 27902-2023 FSC-klagomål mail.docx", "A 27902-2023")</f>
        <v/>
      </c>
      <c r="AA39">
        <f>HYPERLINK("https://klasma.github.io/Logging_1267/tillsyn/A 27902-2023 tillsynsbegäran.docx", "A 27902-2023")</f>
        <v/>
      </c>
      <c r="AB39">
        <f>HYPERLINK("https://klasma.github.io/Logging_1267/tillsynsmail/A 27902-2023 tillsynsbegäran mail.docx", "A 27902-2023")</f>
        <v/>
      </c>
    </row>
    <row r="40" ht="15" customHeight="1">
      <c r="A40" t="inlineStr">
        <is>
          <t>A 18348-2022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44685</v>
      </c>
      <c r="E40" s="1" t="n">
        <v>46216</v>
      </c>
      <c r="F40" t="inlineStr">
        <is>
          <t>SKÅNE LÄN</t>
        </is>
      </c>
      <c r="G40" t="inlineStr">
        <is>
          <t>HÖÖR</t>
        </is>
      </c>
      <c r="H40" t="inlineStr">
        <is>
          <t>Sveaskog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Klotullört</t>
        </is>
      </c>
      <c r="V40">
        <f>HYPERLINK("https://klasma.github.io/Logging_1267/artfynd/A 18348-2022 artfynd.xlsx", "A 18348-2022")</f>
        <v/>
      </c>
      <c r="W40">
        <f>HYPERLINK("https://klasma.github.io/Logging_1267/kartor/A 18348-2022 karta.png", "A 18348-2022")</f>
        <v/>
      </c>
      <c r="Y40">
        <f>HYPERLINK("https://klasma.github.io/Logging_1267/klagomål/A 18348-2022 FSC-klagomål.docx", "A 18348-2022")</f>
        <v/>
      </c>
      <c r="Z40">
        <f>HYPERLINK("https://klasma.github.io/Logging_1267/klagomålsmail/A 18348-2022 FSC-klagomål mail.docx", "A 18348-2022")</f>
        <v/>
      </c>
      <c r="AA40">
        <f>HYPERLINK("https://klasma.github.io/Logging_1267/tillsyn/A 18348-2022 tillsynsbegäran.docx", "A 18348-2022")</f>
        <v/>
      </c>
      <c r="AB40">
        <f>HYPERLINK("https://klasma.github.io/Logging_1267/tillsynsmail/A 18348-2022 tillsynsbegäran mail.docx", "A 18348-2022")</f>
        <v/>
      </c>
    </row>
    <row r="41" ht="15" customHeight="1">
      <c r="A41" t="inlineStr">
        <is>
          <t>A 13429-2023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45005</v>
      </c>
      <c r="E41" s="1" t="n">
        <v>46216</v>
      </c>
      <c r="F41" t="inlineStr">
        <is>
          <t>SKÅNE LÄN</t>
        </is>
      </c>
      <c r="G41" t="inlineStr">
        <is>
          <t>HÖÖR</t>
        </is>
      </c>
      <c r="I41" t="n">
        <v>0.3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Skogsbräsma</t>
        </is>
      </c>
      <c r="V41">
        <f>HYPERLINK("https://klasma.github.io/Logging_1267/artfynd/A 13429-2023 artfynd.xlsx", "A 13429-2023")</f>
        <v/>
      </c>
      <c r="W41">
        <f>HYPERLINK("https://klasma.github.io/Logging_1267/kartor/A 13429-2023 karta.png", "A 13429-2023")</f>
        <v/>
      </c>
      <c r="Y41">
        <f>HYPERLINK("https://klasma.github.io/Logging_1267/klagomål/A 13429-2023 FSC-klagomål.docx", "A 13429-2023")</f>
        <v/>
      </c>
      <c r="Z41">
        <f>HYPERLINK("https://klasma.github.io/Logging_1267/klagomålsmail/A 13429-2023 FSC-klagomål mail.docx", "A 13429-2023")</f>
        <v/>
      </c>
      <c r="AA41">
        <f>HYPERLINK("https://klasma.github.io/Logging_1267/tillsyn/A 13429-2023 tillsynsbegäran.docx", "A 13429-2023")</f>
        <v/>
      </c>
      <c r="AB41">
        <f>HYPERLINK("https://klasma.github.io/Logging_1267/tillsynsmail/A 13429-2023 tillsynsbegäran mail.docx", "A 13429-2023")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46216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Spillkråka</t>
        </is>
      </c>
      <c r="V42">
        <f>HYPERLINK("https://klasma.github.io/Logging_1267/artfynd/A 22569-2024 artfynd.xlsx", "A 22569-2024")</f>
        <v/>
      </c>
      <c r="W42">
        <f>HYPERLINK("https://klasma.github.io/Logging_1267/kartor/A 22569-2024 karta.png", "A 22569-2024")</f>
        <v/>
      </c>
      <c r="Y42">
        <f>HYPERLINK("https://klasma.github.io/Logging_1267/klagomål/A 22569-2024 FSC-klagomål.docx", "A 22569-2024")</f>
        <v/>
      </c>
      <c r="Z42">
        <f>HYPERLINK("https://klasma.github.io/Logging_1267/klagomålsmail/A 22569-2024 FSC-klagomål mail.docx", "A 22569-2024")</f>
        <v/>
      </c>
      <c r="AA42">
        <f>HYPERLINK("https://klasma.github.io/Logging_1267/tillsyn/A 22569-2024 tillsynsbegäran.docx", "A 22569-2024")</f>
        <v/>
      </c>
      <c r="AB42">
        <f>HYPERLINK("https://klasma.github.io/Logging_1267/tillsynsmail/A 22569-2024 tillsynsbegäran mail.docx", "A 22569-2024")</f>
        <v/>
      </c>
      <c r="AC42">
        <f>HYPERLINK("https://klasma.github.io/Logging_1267/fåglar/A 22569-2024 prioriterade fågelarter.docx", "A 22569-2024")</f>
        <v/>
      </c>
    </row>
    <row r="43" ht="15" customHeight="1">
      <c r="A43" t="inlineStr">
        <is>
          <t>A 48926-2024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46216</v>
      </c>
      <c r="F43" t="inlineStr">
        <is>
          <t>SKÅNE LÄN</t>
        </is>
      </c>
      <c r="G43" t="inlineStr">
        <is>
          <t>HÖÖR</t>
        </is>
      </c>
      <c r="I43" t="n">
        <v>10.8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Småvänderot</t>
        </is>
      </c>
      <c r="V43">
        <f>HYPERLINK("https://klasma.github.io/Logging_1267/artfynd/A 48926-2024 artfynd.xlsx", "A 48926-2024")</f>
        <v/>
      </c>
      <c r="W43">
        <f>HYPERLINK("https://klasma.github.io/Logging_1267/kartor/A 48926-2024 karta.png", "A 48926-2024")</f>
        <v/>
      </c>
      <c r="Y43">
        <f>HYPERLINK("https://klasma.github.io/Logging_1267/klagomål/A 48926-2024 FSC-klagomål.docx", "A 48926-2024")</f>
        <v/>
      </c>
      <c r="Z43">
        <f>HYPERLINK("https://klasma.github.io/Logging_1267/klagomålsmail/A 48926-2024 FSC-klagomål mail.docx", "A 48926-2024")</f>
        <v/>
      </c>
      <c r="AA43">
        <f>HYPERLINK("https://klasma.github.io/Logging_1267/tillsyn/A 48926-2024 tillsynsbegäran.docx", "A 48926-2024")</f>
        <v/>
      </c>
      <c r="AB43">
        <f>HYPERLINK("https://klasma.github.io/Logging_1267/tillsynsmail/A 48926-2024 tillsynsbegäran mail.docx", "A 48926-2024")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46216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Revlummer</t>
        </is>
      </c>
      <c r="V44">
        <f>HYPERLINK("https://klasma.github.io/Logging_1267/artfynd/S 8915-2021 artfynd.xlsx", "S 8915-2021")</f>
        <v/>
      </c>
      <c r="W44">
        <f>HYPERLINK("https://klasma.github.io/Logging_1267/kartor/S 8915-2021 karta.png", "S 8915-2021")</f>
        <v/>
      </c>
      <c r="Y44">
        <f>HYPERLINK("https://klasma.github.io/Logging_1267/klagomål/S 8915-2021 FSC-klagomål.docx", "S 8915-2021")</f>
        <v/>
      </c>
      <c r="Z44">
        <f>HYPERLINK("https://klasma.github.io/Logging_1267/klagomålsmail/S 8915-2021 FSC-klagomål mail.docx", "S 8915-2021")</f>
        <v/>
      </c>
      <c r="AA44">
        <f>HYPERLINK("https://klasma.github.io/Logging_1267/tillsyn/S 8915-2021 tillsynsbegäran.docx", "S 8915-2021")</f>
        <v/>
      </c>
      <c r="AB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46216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Grönvit nattviol</t>
        </is>
      </c>
      <c r="V45">
        <f>HYPERLINK("https://klasma.github.io/Logging_1267/artfynd/S 5973-2022 artfynd.xlsx", "S 5973-2022")</f>
        <v/>
      </c>
      <c r="W45">
        <f>HYPERLINK("https://klasma.github.io/Logging_1267/kartor/S 5973-2022 karta.png", "S 5973-2022")</f>
        <v/>
      </c>
      <c r="Y45">
        <f>HYPERLINK("https://klasma.github.io/Logging_1267/klagomål/S 5973-2022 FSC-klagomål.docx", "S 5973-2022")</f>
        <v/>
      </c>
      <c r="Z45">
        <f>HYPERLINK("https://klasma.github.io/Logging_1267/klagomålsmail/S 5973-2022 FSC-klagomål mail.docx", "S 5973-2022")</f>
        <v/>
      </c>
      <c r="AA45">
        <f>HYPERLINK("https://klasma.github.io/Logging_1267/tillsyn/S 5973-2022 tillsynsbegäran.docx", "S 5973-2022")</f>
        <v/>
      </c>
      <c r="AB45">
        <f>HYPERLINK("https://klasma.github.io/Logging_1267/tillsynsmail/S 5973-2022 tillsynsbegäran mail.docx", "S 5973-2022")</f>
        <v/>
      </c>
    </row>
    <row r="46" ht="15" customHeight="1">
      <c r="A46" t="inlineStr">
        <is>
          <t>S 2339-2022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44686</v>
      </c>
      <c r="E46" s="1" t="n">
        <v>46216</v>
      </c>
      <c r="F46" t="inlineStr">
        <is>
          <t>SKÅNE LÄN</t>
        </is>
      </c>
      <c r="G46" t="inlineStr">
        <is>
          <t>HÖÖR</t>
        </is>
      </c>
      <c r="I46" t="n">
        <v>20.3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Småvänderot</t>
        </is>
      </c>
      <c r="V46">
        <f>HYPERLINK("https://klasma.github.io/Logging_1267/artfynd/S 2339-2022 artfynd.xlsx", "S 2339-2022")</f>
        <v/>
      </c>
      <c r="W46">
        <f>HYPERLINK("https://klasma.github.io/Logging_1267/kartor/S 2339-2022 karta.png", "S 2339-2022")</f>
        <v/>
      </c>
      <c r="Y46">
        <f>HYPERLINK("https://klasma.github.io/Logging_1267/klagomål/S 2339-2022 FSC-klagomål.docx", "S 2339-2022")</f>
        <v/>
      </c>
      <c r="Z46">
        <f>HYPERLINK("https://klasma.github.io/Logging_1267/klagomålsmail/S 2339-2022 FSC-klagomål mail.docx", "S 2339-2022")</f>
        <v/>
      </c>
      <c r="AA46">
        <f>HYPERLINK("https://klasma.github.io/Logging_1267/tillsyn/S 2339-2022 tillsynsbegäran.docx", "S 2339-2022")</f>
        <v/>
      </c>
      <c r="AB46">
        <f>HYPERLINK("https://klasma.github.io/Logging_1267/tillsynsmail/S 2339-2022 tillsynsbegäran mail.docx", "S 2339-2022")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46216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Skogsbräsma</t>
        </is>
      </c>
      <c r="V47">
        <f>HYPERLINK("https://klasma.github.io/Logging_1267/artfynd/S 309-2025 artfynd.xlsx", "S 309-2025")</f>
        <v/>
      </c>
      <c r="W47">
        <f>HYPERLINK("https://klasma.github.io/Logging_1267/kartor/S 309-2025 karta.png", "S 309-2025")</f>
        <v/>
      </c>
      <c r="Y47">
        <f>HYPERLINK("https://klasma.github.io/Logging_1267/klagomål/S 309-2025 FSC-klagomål.docx", "S 309-2025")</f>
        <v/>
      </c>
      <c r="Z47">
        <f>HYPERLINK("https://klasma.github.io/Logging_1267/klagomålsmail/S 309-2025 FSC-klagomål mail.docx", "S 309-2025")</f>
        <v/>
      </c>
      <c r="AA47">
        <f>HYPERLINK("https://klasma.github.io/Logging_1267/tillsyn/S 309-2025 tillsynsbegäran.docx", "S 309-2025")</f>
        <v/>
      </c>
      <c r="AB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46216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Gullpudra</t>
        </is>
      </c>
      <c r="V48">
        <f>HYPERLINK("https://klasma.github.io/Logging_1267/artfynd/S 791-2025 artfynd.xlsx", "S 791-2025")</f>
        <v/>
      </c>
      <c r="W48">
        <f>HYPERLINK("https://klasma.github.io/Logging_1267/kartor/S 791-2025 karta.png", "S 791-2025")</f>
        <v/>
      </c>
      <c r="Y48">
        <f>HYPERLINK("https://klasma.github.io/Logging_1267/klagomål/S 791-2025 FSC-klagomål.docx", "S 791-2025")</f>
        <v/>
      </c>
      <c r="Z48">
        <f>HYPERLINK("https://klasma.github.io/Logging_1267/klagomålsmail/S 791-2025 FSC-klagomål mail.docx", "S 791-2025")</f>
        <v/>
      </c>
      <c r="AA48">
        <f>HYPERLINK("https://klasma.github.io/Logging_1267/tillsyn/S 791-2025 tillsynsbegäran.docx", "S 791-2025")</f>
        <v/>
      </c>
      <c r="AB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46216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Småvänderot</t>
        </is>
      </c>
      <c r="V49">
        <f>HYPERLINK("https://klasma.github.io/Logging_1267/artfynd/S 4216-2023 artfynd.xlsx", "S 4216-2023")</f>
        <v/>
      </c>
      <c r="W49">
        <f>HYPERLINK("https://klasma.github.io/Logging_1267/kartor/S 4216-2023 karta.png", "S 4216-2023")</f>
        <v/>
      </c>
      <c r="Y49">
        <f>HYPERLINK("https://klasma.github.io/Logging_1267/klagomål/S 4216-2023 FSC-klagomål.docx", "S 4216-2023")</f>
        <v/>
      </c>
      <c r="Z49">
        <f>HYPERLINK("https://klasma.github.io/Logging_1267/klagomålsmail/S 4216-2023 FSC-klagomål mail.docx", "S 4216-2023")</f>
        <v/>
      </c>
      <c r="AA49">
        <f>HYPERLINK("https://klasma.github.io/Logging_1267/tillsyn/S 4216-2023 tillsynsbegäran.docx", "S 4216-2023")</f>
        <v/>
      </c>
      <c r="AB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46216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37135-2021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44396</v>
      </c>
      <c r="E51" s="1" t="n">
        <v>46216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51197-2021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46216</v>
      </c>
      <c r="F52" t="inlineStr">
        <is>
          <t>SKÅNE LÄN</t>
        </is>
      </c>
      <c r="G52" t="inlineStr">
        <is>
          <t>HÖÖR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54738-2022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46216</v>
      </c>
      <c r="F53" t="inlineStr">
        <is>
          <t>SKÅNE LÄN</t>
        </is>
      </c>
      <c r="G53" t="inlineStr">
        <is>
          <t>HÖÖR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70982-2021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46216</v>
      </c>
      <c r="F54" t="inlineStr">
        <is>
          <t>SKÅNE LÄN</t>
        </is>
      </c>
      <c r="G54" t="inlineStr">
        <is>
          <t>HÖÖR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44160-2021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46216</v>
      </c>
      <c r="F55" t="inlineStr">
        <is>
          <t>SKÅNE LÄN</t>
        </is>
      </c>
      <c r="G55" t="inlineStr">
        <is>
          <t>HÖÖR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44166-2021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46216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44173-2021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44434</v>
      </c>
      <c r="E57" s="1" t="n">
        <v>46216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51120-2021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46216</v>
      </c>
      <c r="F58" t="inlineStr">
        <is>
          <t>SKÅNE LÄN</t>
        </is>
      </c>
      <c r="G58" t="inlineStr">
        <is>
          <t>HÖÖR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46107-2021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44442</v>
      </c>
      <c r="E59" s="1" t="n">
        <v>46216</v>
      </c>
      <c r="F59" t="inlineStr">
        <is>
          <t>SKÅNE LÄN</t>
        </is>
      </c>
      <c r="G59" t="inlineStr">
        <is>
          <t>HÖÖR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46216</v>
      </c>
      <c r="F60" t="inlineStr">
        <is>
          <t>SKÅNE LÄN</t>
        </is>
      </c>
      <c r="G60" t="inlineStr">
        <is>
          <t>HÖÖR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37913-2021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44403</v>
      </c>
      <c r="E61" s="1" t="n">
        <v>46216</v>
      </c>
      <c r="F61" t="inlineStr">
        <is>
          <t>SKÅNE LÄN</t>
        </is>
      </c>
      <c r="G61" t="inlineStr">
        <is>
          <t>HÖÖR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65203-2021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44515</v>
      </c>
      <c r="E62" s="1" t="n">
        <v>46216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6042-2022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46216</v>
      </c>
      <c r="F63" t="inlineStr">
        <is>
          <t>SKÅNE LÄN</t>
        </is>
      </c>
      <c r="G63" t="inlineStr">
        <is>
          <t>HÖÖR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3480-2022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46216</v>
      </c>
      <c r="F64" t="inlineStr">
        <is>
          <t>SKÅNE LÄN</t>
        </is>
      </c>
      <c r="G64" t="inlineStr">
        <is>
          <t>HÖÖR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10007-2022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44621</v>
      </c>
      <c r="E65" s="1" t="n">
        <v>46216</v>
      </c>
      <c r="F65" t="inlineStr">
        <is>
          <t>SKÅNE LÄN</t>
        </is>
      </c>
      <c r="G65" t="inlineStr">
        <is>
          <t>HÖÖR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35801-2024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45532</v>
      </c>
      <c r="E66" s="1" t="n">
        <v>46216</v>
      </c>
      <c r="F66" t="inlineStr">
        <is>
          <t>SKÅNE LÄN</t>
        </is>
      </c>
      <c r="G66" t="inlineStr">
        <is>
          <t>HÖÖR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16110-2024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45406</v>
      </c>
      <c r="E67" s="1" t="n">
        <v>46216</v>
      </c>
      <c r="F67" t="inlineStr">
        <is>
          <t>SKÅNE LÄN</t>
        </is>
      </c>
      <c r="G67" t="inlineStr">
        <is>
          <t>HÖÖR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30087-2023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45110</v>
      </c>
      <c r="E68" s="1" t="n">
        <v>46216</v>
      </c>
      <c r="F68" t="inlineStr">
        <is>
          <t>SKÅNE LÄN</t>
        </is>
      </c>
      <c r="G68" t="inlineStr">
        <is>
          <t>HÖÖR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37675-2023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45159</v>
      </c>
      <c r="E69" s="1" t="n">
        <v>46216</v>
      </c>
      <c r="F69" t="inlineStr">
        <is>
          <t>SKÅNE LÄN</t>
        </is>
      </c>
      <c r="G69" t="inlineStr">
        <is>
          <t>HÖÖR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16434-2025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45751</v>
      </c>
      <c r="E70" s="1" t="n">
        <v>46216</v>
      </c>
      <c r="F70" t="inlineStr">
        <is>
          <t>SKÅNE LÄN</t>
        </is>
      </c>
      <c r="G70" t="inlineStr">
        <is>
          <t>HÖÖR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31092-2023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45113</v>
      </c>
      <c r="E71" s="1" t="n">
        <v>46216</v>
      </c>
      <c r="F71" t="inlineStr">
        <is>
          <t>SKÅNE LÄN</t>
        </is>
      </c>
      <c r="G71" t="inlineStr">
        <is>
          <t>HÖÖR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47136-2022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46216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28385-2024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45477</v>
      </c>
      <c r="E73" s="1" t="n">
        <v>46216</v>
      </c>
      <c r="F73" t="inlineStr">
        <is>
          <t>SKÅNE LÄN</t>
        </is>
      </c>
      <c r="G73" t="inlineStr">
        <is>
          <t>HÖÖR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46777-2024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46216</v>
      </c>
      <c r="F74" t="inlineStr">
        <is>
          <t>SKÅNE LÄN</t>
        </is>
      </c>
      <c r="G74" t="inlineStr">
        <is>
          <t>HÖÖR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12855-2023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45001</v>
      </c>
      <c r="E75" s="1" t="n">
        <v>46216</v>
      </c>
      <c r="F75" t="inlineStr">
        <is>
          <t>SKÅNE LÄN</t>
        </is>
      </c>
      <c r="G75" t="inlineStr">
        <is>
          <t>HÖÖR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11379-2024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45372</v>
      </c>
      <c r="E76" s="1" t="n">
        <v>46216</v>
      </c>
      <c r="F76" t="inlineStr">
        <is>
          <t>SKÅNE LÄN</t>
        </is>
      </c>
      <c r="G76" t="inlineStr">
        <is>
          <t>HÖÖR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61377-2024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45646</v>
      </c>
      <c r="E77" s="1" t="n">
        <v>46216</v>
      </c>
      <c r="F77" t="inlineStr">
        <is>
          <t>SKÅNE LÄN</t>
        </is>
      </c>
      <c r="G77" t="inlineStr">
        <is>
          <t>HÖÖR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52281-2024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46216</v>
      </c>
      <c r="F78" t="inlineStr">
        <is>
          <t>SKÅNE LÄN</t>
        </is>
      </c>
      <c r="G78" t="inlineStr">
        <is>
          <t>HÖÖR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51131-2021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44461</v>
      </c>
      <c r="E79" s="1" t="n">
        <v>46216</v>
      </c>
      <c r="F79" t="inlineStr">
        <is>
          <t>SKÅNE LÄN</t>
        </is>
      </c>
      <c r="G79" t="inlineStr">
        <is>
          <t>HÖÖR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60425-2022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44911</v>
      </c>
      <c r="E80" s="1" t="n">
        <v>46216</v>
      </c>
      <c r="F80" t="inlineStr">
        <is>
          <t>SKÅNE LÄN</t>
        </is>
      </c>
      <c r="G80" t="inlineStr">
        <is>
          <t>HÖÖR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44915</v>
      </c>
      <c r="E81" s="1" t="n">
        <v>46216</v>
      </c>
      <c r="F81" t="inlineStr">
        <is>
          <t>SKÅNE LÄN</t>
        </is>
      </c>
      <c r="G81" t="inlineStr">
        <is>
          <t>HÖÖR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25749-2025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46216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28189-2024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46216</v>
      </c>
      <c r="F83" t="inlineStr">
        <is>
          <t>SKÅNE LÄN</t>
        </is>
      </c>
      <c r="G83" t="inlineStr">
        <is>
          <t>HÖÖR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26592-2025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45807</v>
      </c>
      <c r="E84" s="1" t="n">
        <v>46216</v>
      </c>
      <c r="F84" t="inlineStr">
        <is>
          <t>SKÅNE LÄN</t>
        </is>
      </c>
      <c r="G84" t="inlineStr">
        <is>
          <t>HÖÖR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40083-2025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46216</v>
      </c>
      <c r="F85" t="inlineStr">
        <is>
          <t>SKÅNE LÄN</t>
        </is>
      </c>
      <c r="G85" t="inlineStr">
        <is>
          <t>HÖÖR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17723-2023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45037</v>
      </c>
      <c r="E86" s="1" t="n">
        <v>46216</v>
      </c>
      <c r="F86" t="inlineStr">
        <is>
          <t>SKÅNE LÄN</t>
        </is>
      </c>
      <c r="G86" t="inlineStr">
        <is>
          <t>HÖÖR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40090-2025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46216</v>
      </c>
      <c r="F87" t="inlineStr">
        <is>
          <t>SKÅNE LÄN</t>
        </is>
      </c>
      <c r="G87" t="inlineStr">
        <is>
          <t>HÖÖR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46216</v>
      </c>
      <c r="F88" t="inlineStr">
        <is>
          <t>SKÅNE LÄN</t>
        </is>
      </c>
      <c r="G88" t="inlineStr">
        <is>
          <t>HÖÖR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16665-2022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44672</v>
      </c>
      <c r="E89" s="1" t="n">
        <v>46216</v>
      </c>
      <c r="F89" t="inlineStr">
        <is>
          <t>SKÅNE LÄN</t>
        </is>
      </c>
      <c r="G89" t="inlineStr">
        <is>
          <t>HÖÖR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44960-2023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45190</v>
      </c>
      <c r="E90" s="1" t="n">
        <v>46216</v>
      </c>
      <c r="F90" t="inlineStr">
        <is>
          <t>SKÅNE LÄN</t>
        </is>
      </c>
      <c r="G90" t="inlineStr">
        <is>
          <t>HÖÖR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45323</v>
      </c>
      <c r="E91" s="1" t="n">
        <v>46216</v>
      </c>
      <c r="F91" t="inlineStr">
        <is>
          <t>SKÅNE LÄN</t>
        </is>
      </c>
      <c r="G91" t="inlineStr">
        <is>
          <t>HÖÖR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39603-2023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46216</v>
      </c>
      <c r="F92" t="inlineStr">
        <is>
          <t>SKÅNE LÄN</t>
        </is>
      </c>
      <c r="G92" t="inlineStr">
        <is>
          <t>HÖÖR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44596</v>
      </c>
      <c r="E93" s="1" t="n">
        <v>46216</v>
      </c>
      <c r="F93" t="inlineStr">
        <is>
          <t>SKÅNE LÄN</t>
        </is>
      </c>
      <c r="G93" t="inlineStr">
        <is>
          <t>HÖÖR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30730-2025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45831</v>
      </c>
      <c r="E94" s="1" t="n">
        <v>46216</v>
      </c>
      <c r="F94" t="inlineStr">
        <is>
          <t>SKÅNE LÄN</t>
        </is>
      </c>
      <c r="G94" t="inlineStr">
        <is>
          <t>HÖÖR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8478-2025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45709</v>
      </c>
      <c r="E95" s="1" t="n">
        <v>46216</v>
      </c>
      <c r="F95" t="inlineStr">
        <is>
          <t>SKÅNE LÄN</t>
        </is>
      </c>
      <c r="G95" t="inlineStr">
        <is>
          <t>HÖÖR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13437-2023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46216</v>
      </c>
      <c r="F96" t="inlineStr">
        <is>
          <t>SKÅNE LÄN</t>
        </is>
      </c>
      <c r="G96" t="inlineStr">
        <is>
          <t>HÖÖR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14515-2023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46216</v>
      </c>
      <c r="F97" t="inlineStr">
        <is>
          <t>SKÅNE LÄN</t>
        </is>
      </c>
      <c r="G97" t="inlineStr">
        <is>
          <t>HÖÖR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26757-2023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46216</v>
      </c>
      <c r="F98" t="inlineStr">
        <is>
          <t>SKÅNE LÄN</t>
        </is>
      </c>
      <c r="G98" t="inlineStr">
        <is>
          <t>HÖÖR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29285-2025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46216</v>
      </c>
      <c r="F99" t="inlineStr">
        <is>
          <t>SKÅNE LÄN</t>
        </is>
      </c>
      <c r="G99" t="inlineStr">
        <is>
          <t>HÖÖR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45164-2025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46216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43877-2022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46216</v>
      </c>
      <c r="F101" t="inlineStr">
        <is>
          <t>SKÅNE LÄN</t>
        </is>
      </c>
      <c r="G101" t="inlineStr">
        <is>
          <t>HÖÖR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43897-2022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44838</v>
      </c>
      <c r="E102" s="1" t="n">
        <v>46216</v>
      </c>
      <c r="F102" t="inlineStr">
        <is>
          <t>SKÅNE LÄN</t>
        </is>
      </c>
      <c r="G102" t="inlineStr">
        <is>
          <t>HÖÖR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28830-2025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46216</v>
      </c>
      <c r="F103" t="inlineStr">
        <is>
          <t>SKÅNE LÄN</t>
        </is>
      </c>
      <c r="G103" t="inlineStr">
        <is>
          <t>HÖÖR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27219-2022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46216</v>
      </c>
      <c r="F104" t="inlineStr">
        <is>
          <t>SKÅNE LÄN</t>
        </is>
      </c>
      <c r="G104" t="inlineStr">
        <is>
          <t>HÖÖR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26590-2025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45807</v>
      </c>
      <c r="E105" s="1" t="n">
        <v>46216</v>
      </c>
      <c r="F105" t="inlineStr">
        <is>
          <t>SKÅNE LÄN</t>
        </is>
      </c>
      <c r="G105" t="inlineStr">
        <is>
          <t>HÖÖR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26591-2025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45807</v>
      </c>
      <c r="E106" s="1" t="n">
        <v>46216</v>
      </c>
      <c r="F106" t="inlineStr">
        <is>
          <t>SKÅNE LÄN</t>
        </is>
      </c>
      <c r="G106" t="inlineStr">
        <is>
          <t>HÖÖR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63268-2023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45273</v>
      </c>
      <c r="E107" s="1" t="n">
        <v>46216</v>
      </c>
      <c r="F107" t="inlineStr">
        <is>
          <t>SKÅNE LÄN</t>
        </is>
      </c>
      <c r="G107" t="inlineStr">
        <is>
          <t>HÖÖR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46041</v>
      </c>
      <c r="E108" s="1" t="n">
        <v>46216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45672</v>
      </c>
      <c r="E109" s="1" t="n">
        <v>46216</v>
      </c>
      <c r="F109" t="inlineStr">
        <is>
          <t>SKÅNE LÄN</t>
        </is>
      </c>
      <c r="G109" t="inlineStr">
        <is>
          <t>HÖÖR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46216</v>
      </c>
      <c r="F110" t="inlineStr">
        <is>
          <t>SKÅNE LÄN</t>
        </is>
      </c>
      <c r="G110" t="inlineStr">
        <is>
          <t>HÖÖR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49780-2025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45940</v>
      </c>
      <c r="E111" s="1" t="n">
        <v>46216</v>
      </c>
      <c r="F111" t="inlineStr">
        <is>
          <t>SKÅNE LÄN</t>
        </is>
      </c>
      <c r="G111" t="inlineStr">
        <is>
          <t>HÖÖR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21066-2023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45061</v>
      </c>
      <c r="E112" s="1" t="n">
        <v>46216</v>
      </c>
      <c r="F112" t="inlineStr">
        <is>
          <t>SKÅNE LÄN</t>
        </is>
      </c>
      <c r="G112" t="inlineStr">
        <is>
          <t>HÖÖR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50553-2025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45945</v>
      </c>
      <c r="E113" s="1" t="n">
        <v>46216</v>
      </c>
      <c r="F113" t="inlineStr">
        <is>
          <t>SKÅNE LÄN</t>
        </is>
      </c>
      <c r="G113" t="inlineStr">
        <is>
          <t>HÖÖR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28352-2024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45477</v>
      </c>
      <c r="E114" s="1" t="n">
        <v>46216</v>
      </c>
      <c r="F114" t="inlineStr">
        <is>
          <t>SKÅNE LÄN</t>
        </is>
      </c>
      <c r="G114" t="inlineStr">
        <is>
          <t>HÖÖR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15905-2024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45405</v>
      </c>
      <c r="E115" s="1" t="n">
        <v>46216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28332-2024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45477</v>
      </c>
      <c r="E116" s="1" t="n">
        <v>46216</v>
      </c>
      <c r="F116" t="inlineStr">
        <is>
          <t>SKÅNE LÄN</t>
        </is>
      </c>
      <c r="G116" t="inlineStr">
        <is>
          <t>HÖÖR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51235-2025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46216</v>
      </c>
      <c r="F117" t="inlineStr">
        <is>
          <t>SKÅNE LÄN</t>
        </is>
      </c>
      <c r="G117" t="inlineStr">
        <is>
          <t>HÖÖR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6760-2024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46216</v>
      </c>
      <c r="F118" t="inlineStr">
        <is>
          <t>SKÅNE LÄN</t>
        </is>
      </c>
      <c r="G118" t="inlineStr">
        <is>
          <t>HÖÖR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45698</v>
      </c>
      <c r="E119" s="1" t="n">
        <v>46216</v>
      </c>
      <c r="F119" t="inlineStr">
        <is>
          <t>SKÅNE LÄN</t>
        </is>
      </c>
      <c r="G119" t="inlineStr">
        <is>
          <t>HÖÖR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45971</v>
      </c>
      <c r="E120" s="1" t="n">
        <v>46216</v>
      </c>
      <c r="F120" t="inlineStr">
        <is>
          <t>SKÅNE LÄN</t>
        </is>
      </c>
      <c r="G120" t="inlineStr">
        <is>
          <t>HÖÖR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46216</v>
      </c>
      <c r="F121" t="inlineStr">
        <is>
          <t>SKÅNE LÄN</t>
        </is>
      </c>
      <c r="G121" t="inlineStr">
        <is>
          <t>HÖÖR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46216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45685</v>
      </c>
      <c r="E123" s="1" t="n">
        <v>46216</v>
      </c>
      <c r="F123" t="inlineStr">
        <is>
          <t>SKÅNE LÄN</t>
        </is>
      </c>
      <c r="G123" t="inlineStr">
        <is>
          <t>HÖÖR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3407-2024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45318</v>
      </c>
      <c r="E124" s="1" t="n">
        <v>46216</v>
      </c>
      <c r="F124" t="inlineStr">
        <is>
          <t>SKÅNE LÄN</t>
        </is>
      </c>
      <c r="G124" t="inlineStr">
        <is>
          <t>HÖÖR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57982-2025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46216</v>
      </c>
      <c r="F125" t="inlineStr">
        <is>
          <t>SKÅNE LÄN</t>
        </is>
      </c>
      <c r="G125" t="inlineStr">
        <is>
          <t>HÖÖR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26764-2023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46216</v>
      </c>
      <c r="F126" t="inlineStr">
        <is>
          <t>SKÅNE LÄN</t>
        </is>
      </c>
      <c r="G126" t="inlineStr">
        <is>
          <t>HÖÖR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53848-2023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45231</v>
      </c>
      <c r="E127" s="1" t="n">
        <v>46216</v>
      </c>
      <c r="F127" t="inlineStr">
        <is>
          <t>SKÅNE LÄN</t>
        </is>
      </c>
      <c r="G127" t="inlineStr">
        <is>
          <t>HÖÖR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8290-2026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46064</v>
      </c>
      <c r="E128" s="1" t="n">
        <v>46216</v>
      </c>
      <c r="F128" t="inlineStr">
        <is>
          <t>SKÅNE LÄN</t>
        </is>
      </c>
      <c r="G128" t="inlineStr">
        <is>
          <t>HÖÖR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10452-2023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46216</v>
      </c>
      <c r="F129" t="inlineStr">
        <is>
          <t>SKÅNE LÄN</t>
        </is>
      </c>
      <c r="G129" t="inlineStr">
        <is>
          <t>HÖÖR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46216</v>
      </c>
      <c r="F130" t="inlineStr">
        <is>
          <t>SKÅNE LÄN</t>
        </is>
      </c>
      <c r="G130" t="inlineStr">
        <is>
          <t>HÖÖR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20512-2023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45057</v>
      </c>
      <c r="E131" s="1" t="n">
        <v>46216</v>
      </c>
      <c r="F131" t="inlineStr">
        <is>
          <t>SKÅNE LÄN</t>
        </is>
      </c>
      <c r="G131" t="inlineStr">
        <is>
          <t>HÖÖR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61169-2025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46216</v>
      </c>
      <c r="F132" t="inlineStr">
        <is>
          <t>SKÅNE LÄN</t>
        </is>
      </c>
      <c r="G132" t="inlineStr">
        <is>
          <t>HÖÖR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61175-2025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46216</v>
      </c>
      <c r="F133" t="inlineStr">
        <is>
          <t>SKÅNE LÄN</t>
        </is>
      </c>
      <c r="G133" t="inlineStr">
        <is>
          <t>HÖÖR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43996-2022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44838</v>
      </c>
      <c r="E134" s="1" t="n">
        <v>46216</v>
      </c>
      <c r="F134" t="inlineStr">
        <is>
          <t>SKÅNE LÄN</t>
        </is>
      </c>
      <c r="G134" t="inlineStr">
        <is>
          <t>HÖÖR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8296-2026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46216</v>
      </c>
      <c r="F135" t="inlineStr">
        <is>
          <t>SKÅNE LÄN</t>
        </is>
      </c>
      <c r="G135" t="inlineStr">
        <is>
          <t>HÖÖR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38813-2025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46216</v>
      </c>
      <c r="F136" t="inlineStr">
        <is>
          <t>SKÅNE LÄN</t>
        </is>
      </c>
      <c r="G136" t="inlineStr">
        <is>
          <t>HÖÖR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47222-2022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46216</v>
      </c>
      <c r="F137" t="inlineStr">
        <is>
          <t>SKÅNE LÄN</t>
        </is>
      </c>
      <c r="G137" t="inlineStr">
        <is>
          <t>HÖÖR</t>
        </is>
      </c>
      <c r="I137" t="n">
        <v>12.3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58807-2025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45987</v>
      </c>
      <c r="E138" s="1" t="n">
        <v>46216</v>
      </c>
      <c r="F138" t="inlineStr">
        <is>
          <t>SKÅNE LÄN</t>
        </is>
      </c>
      <c r="G138" t="inlineStr">
        <is>
          <t>HÖÖR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4928-2022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46216</v>
      </c>
      <c r="F139" t="inlineStr">
        <is>
          <t>SKÅNE LÄN</t>
        </is>
      </c>
      <c r="G139" t="inlineStr">
        <is>
          <t>HÖÖR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54711-2024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45618</v>
      </c>
      <c r="E140" s="1" t="n">
        <v>46216</v>
      </c>
      <c r="F140" t="inlineStr">
        <is>
          <t>SKÅNE LÄN</t>
        </is>
      </c>
      <c r="G140" t="inlineStr">
        <is>
          <t>HÖÖR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19629-2025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46216</v>
      </c>
      <c r="F141" t="inlineStr">
        <is>
          <t>SKÅNE LÄN</t>
        </is>
      </c>
      <c r="G141" t="inlineStr">
        <is>
          <t>HÖÖR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46216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56941-2025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45978</v>
      </c>
      <c r="E143" s="1" t="n">
        <v>46216</v>
      </c>
      <c r="F143" t="inlineStr">
        <is>
          <t>SKÅNE LÄN</t>
        </is>
      </c>
      <c r="G143" t="inlineStr">
        <is>
          <t>HÖÖR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46023</v>
      </c>
      <c r="E144" s="1" t="n">
        <v>46216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46023</v>
      </c>
      <c r="E145" s="1" t="n">
        <v>46216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46216</v>
      </c>
      <c r="F146" t="inlineStr">
        <is>
          <t>SKÅNE LÄN</t>
        </is>
      </c>
      <c r="G146" t="inlineStr">
        <is>
          <t>HÖÖR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45092-2024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45575</v>
      </c>
      <c r="E147" s="1" t="n">
        <v>46216</v>
      </c>
      <c r="F147" t="inlineStr">
        <is>
          <t>SKÅNE LÄN</t>
        </is>
      </c>
      <c r="G147" t="inlineStr">
        <is>
          <t>HÖÖR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57428-2023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46216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40595-2021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44420</v>
      </c>
      <c r="E149" s="1" t="n">
        <v>46216</v>
      </c>
      <c r="F149" t="inlineStr">
        <is>
          <t>SKÅNE LÄN</t>
        </is>
      </c>
      <c r="G149" t="inlineStr">
        <is>
          <t>HÖÖR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46216</v>
      </c>
      <c r="F150" t="inlineStr">
        <is>
          <t>SKÅNE LÄN</t>
        </is>
      </c>
      <c r="G150" t="inlineStr">
        <is>
          <t>HÖÖR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41623-2023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45175</v>
      </c>
      <c r="E151" s="1" t="n">
        <v>46216</v>
      </c>
      <c r="F151" t="inlineStr">
        <is>
          <t>SKÅNE LÄN</t>
        </is>
      </c>
      <c r="G151" t="inlineStr">
        <is>
          <t>HÖÖR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37074-2024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46216</v>
      </c>
      <c r="F152" t="inlineStr">
        <is>
          <t>SKÅNE LÄN</t>
        </is>
      </c>
      <c r="G152" t="inlineStr">
        <is>
          <t>HÖÖR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51301-2024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45604</v>
      </c>
      <c r="E153" s="1" t="n">
        <v>46216</v>
      </c>
      <c r="F153" t="inlineStr">
        <is>
          <t>SKÅNE LÄN</t>
        </is>
      </c>
      <c r="G153" t="inlineStr">
        <is>
          <t>HÖÖR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46216</v>
      </c>
      <c r="F154" t="inlineStr">
        <is>
          <t>SKÅNE LÄN</t>
        </is>
      </c>
      <c r="G154" t="inlineStr">
        <is>
          <t>HÖÖR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53460-2022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46216</v>
      </c>
      <c r="F155" t="inlineStr">
        <is>
          <t>SKÅNE LÄN</t>
        </is>
      </c>
      <c r="G155" t="inlineStr">
        <is>
          <t>HÖÖR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53807-2023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46216</v>
      </c>
      <c r="F156" t="inlineStr">
        <is>
          <t>SKÅNE LÄN</t>
        </is>
      </c>
      <c r="G156" t="inlineStr">
        <is>
          <t>HÖÖR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44728-2024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46216</v>
      </c>
      <c r="F157" t="inlineStr">
        <is>
          <t>SKÅNE LÄN</t>
        </is>
      </c>
      <c r="G157" t="inlineStr">
        <is>
          <t>HÖÖR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18696-2026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46128</v>
      </c>
      <c r="E158" s="1" t="n">
        <v>46216</v>
      </c>
      <c r="F158" t="inlineStr">
        <is>
          <t>SKÅNE LÄN</t>
        </is>
      </c>
      <c r="G158" t="inlineStr">
        <is>
          <t>HÖÖR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26033-2022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44734</v>
      </c>
      <c r="E159" s="1" t="n">
        <v>46216</v>
      </c>
      <c r="F159" t="inlineStr">
        <is>
          <t>SKÅNE LÄN</t>
        </is>
      </c>
      <c r="G159" t="inlineStr">
        <is>
          <t>HÖÖR</t>
        </is>
      </c>
      <c r="H159" t="inlineStr">
        <is>
          <t>Övriga statliga verk och myndigheter</t>
        </is>
      </c>
      <c r="I159" t="n">
        <v>9.300000000000001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15657-2025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46216</v>
      </c>
      <c r="F160" t="inlineStr">
        <is>
          <t>SKÅNE LÄN</t>
        </is>
      </c>
      <c r="G160" t="inlineStr">
        <is>
          <t>HÖÖR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17693-2026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46121</v>
      </c>
      <c r="E161" s="1" t="n">
        <v>46216</v>
      </c>
      <c r="F161" t="inlineStr">
        <is>
          <t>SKÅNE LÄN</t>
        </is>
      </c>
      <c r="G161" t="inlineStr">
        <is>
          <t>HÖÖR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7306-2023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44970</v>
      </c>
      <c r="E162" s="1" t="n">
        <v>46216</v>
      </c>
      <c r="F162" t="inlineStr">
        <is>
          <t>SKÅNE LÄN</t>
        </is>
      </c>
      <c r="G162" t="inlineStr">
        <is>
          <t>HÖÖR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20329-2026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46136</v>
      </c>
      <c r="E163" s="1" t="n">
        <v>46216</v>
      </c>
      <c r="F163" t="inlineStr">
        <is>
          <t>SKÅNE LÄN</t>
        </is>
      </c>
      <c r="G163" t="inlineStr">
        <is>
          <t>HÖÖR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18345-2022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46216</v>
      </c>
      <c r="F164" t="inlineStr">
        <is>
          <t>SKÅNE LÄN</t>
        </is>
      </c>
      <c r="G164" t="inlineStr">
        <is>
          <t>HÖÖR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20329-2026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46136</v>
      </c>
      <c r="E165" s="1" t="n">
        <v>46216</v>
      </c>
      <c r="F165" t="inlineStr">
        <is>
          <t>SKÅNE LÄN</t>
        </is>
      </c>
      <c r="G165" t="inlineStr">
        <is>
          <t>HÖÖR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36211-2024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45534</v>
      </c>
      <c r="E166" s="1" t="n">
        <v>46216</v>
      </c>
      <c r="F166" t="inlineStr">
        <is>
          <t>SKÅNE LÄN</t>
        </is>
      </c>
      <c r="G166" t="inlineStr">
        <is>
          <t>HÖÖR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43891-2022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44838</v>
      </c>
      <c r="E167" s="1" t="n">
        <v>46216</v>
      </c>
      <c r="F167" t="inlineStr">
        <is>
          <t>SKÅNE LÄN</t>
        </is>
      </c>
      <c r="G167" t="inlineStr">
        <is>
          <t>HÖÖR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57461-2022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46216</v>
      </c>
      <c r="F168" t="inlineStr">
        <is>
          <t>SKÅNE LÄN</t>
        </is>
      </c>
      <c r="G168" t="inlineStr">
        <is>
          <t>HÖÖR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8305-2026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46064</v>
      </c>
      <c r="E169" s="1" t="n">
        <v>46216</v>
      </c>
      <c r="F169" t="inlineStr">
        <is>
          <t>SKÅNE LÄN</t>
        </is>
      </c>
      <c r="G169" t="inlineStr">
        <is>
          <t>HÖÖR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65200-2021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44515</v>
      </c>
      <c r="E170" s="1" t="n">
        <v>46216</v>
      </c>
      <c r="F170" t="inlineStr">
        <is>
          <t>SKÅNE LÄN</t>
        </is>
      </c>
      <c r="G170" t="inlineStr">
        <is>
          <t>HÖÖR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14554-2025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46216</v>
      </c>
      <c r="F171" t="inlineStr">
        <is>
          <t>SKÅNE LÄN</t>
        </is>
      </c>
      <c r="G171" t="inlineStr">
        <is>
          <t>HÖÖR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25934-2022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46216</v>
      </c>
      <c r="F172" t="inlineStr">
        <is>
          <t>SKÅNE LÄN</t>
        </is>
      </c>
      <c r="G172" t="inlineStr">
        <is>
          <t>HÖÖR</t>
        </is>
      </c>
      <c r="H172" t="inlineStr">
        <is>
          <t>Övriga statliga verk och myndigheter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45338</v>
      </c>
      <c r="E173" s="1" t="n">
        <v>46216</v>
      </c>
      <c r="F173" t="inlineStr">
        <is>
          <t>SKÅNE LÄN</t>
        </is>
      </c>
      <c r="G173" t="inlineStr">
        <is>
          <t>HÖÖR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56596-2022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44888</v>
      </c>
      <c r="E174" s="1" t="n">
        <v>46216</v>
      </c>
      <c r="F174" t="inlineStr">
        <is>
          <t>SKÅNE LÄN</t>
        </is>
      </c>
      <c r="G174" t="inlineStr">
        <is>
          <t>HÖÖR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16663-2022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44672</v>
      </c>
      <c r="E175" s="1" t="n">
        <v>46216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6941-2024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46216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6944-2024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46216</v>
      </c>
      <c r="F177" t="inlineStr">
        <is>
          <t>SKÅNE LÄN</t>
        </is>
      </c>
      <c r="G177" t="inlineStr">
        <is>
          <t>HÖÖR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62944-2025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46009</v>
      </c>
      <c r="E178" s="1" t="n">
        <v>46216</v>
      </c>
      <c r="F178" t="inlineStr">
        <is>
          <t>SKÅNE LÄN</t>
        </is>
      </c>
      <c r="G178" t="inlineStr">
        <is>
          <t>HÖÖR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45315</v>
      </c>
      <c r="E179" s="1" t="n">
        <v>46216</v>
      </c>
      <c r="F179" t="inlineStr">
        <is>
          <t>SKÅNE LÄN</t>
        </is>
      </c>
      <c r="G179" t="inlineStr">
        <is>
          <t>HÖÖR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14849-2024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45398</v>
      </c>
      <c r="E180" s="1" t="n">
        <v>46216</v>
      </c>
      <c r="F180" t="inlineStr">
        <is>
          <t>SKÅNE LÄN</t>
        </is>
      </c>
      <c r="G180" t="inlineStr">
        <is>
          <t>HÖÖR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25559-2026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46216</v>
      </c>
      <c r="F181" t="inlineStr">
        <is>
          <t>SKÅNE LÄN</t>
        </is>
      </c>
      <c r="G181" t="inlineStr">
        <is>
          <t>HÖÖR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13432-2023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46216</v>
      </c>
      <c r="F182" t="inlineStr">
        <is>
          <t>SKÅNE LÄN</t>
        </is>
      </c>
      <c r="G182" t="inlineStr">
        <is>
          <t>HÖÖR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63139-2023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46216</v>
      </c>
      <c r="F183" t="inlineStr">
        <is>
          <t>SKÅNE LÄN</t>
        </is>
      </c>
      <c r="G183" t="inlineStr">
        <is>
          <t>HÖÖR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46216</v>
      </c>
      <c r="F184" t="inlineStr">
        <is>
          <t>SKÅNE LÄN</t>
        </is>
      </c>
      <c r="G184" t="inlineStr">
        <is>
          <t>HÖÖR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53455-2022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46216</v>
      </c>
      <c r="F185" t="inlineStr">
        <is>
          <t>SKÅNE LÄN</t>
        </is>
      </c>
      <c r="G185" t="inlineStr">
        <is>
          <t>HÖÖR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59702-2022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44908</v>
      </c>
      <c r="E186" s="1" t="n">
        <v>46216</v>
      </c>
      <c r="F186" t="inlineStr">
        <is>
          <t>SKÅNE LÄN</t>
        </is>
      </c>
      <c r="G186" t="inlineStr">
        <is>
          <t>HÖÖR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16969-2025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45755</v>
      </c>
      <c r="E187" s="1" t="n">
        <v>46216</v>
      </c>
      <c r="F187" t="inlineStr">
        <is>
          <t>SKÅNE LÄN</t>
        </is>
      </c>
      <c r="G187" t="inlineStr">
        <is>
          <t>HÖÖR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43871-2022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46216</v>
      </c>
      <c r="F188" t="inlineStr">
        <is>
          <t>SKÅNE LÄN</t>
        </is>
      </c>
      <c r="G188" t="inlineStr">
        <is>
          <t>HÖÖR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43884-2022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44838</v>
      </c>
      <c r="E189" s="1" t="n">
        <v>46216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45349-2023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45191</v>
      </c>
      <c r="E190" s="1" t="n">
        <v>46216</v>
      </c>
      <c r="F190" t="inlineStr">
        <is>
          <t>SKÅNE LÄN</t>
        </is>
      </c>
      <c r="G190" t="inlineStr">
        <is>
          <t>HÖÖR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36884-2023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45154</v>
      </c>
      <c r="E191" s="1" t="n">
        <v>46216</v>
      </c>
      <c r="F191" t="inlineStr">
        <is>
          <t>SKÅNE LÄN</t>
        </is>
      </c>
      <c r="G191" t="inlineStr">
        <is>
          <t>HÖÖR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21229-2026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46146</v>
      </c>
      <c r="E192" s="1" t="n">
        <v>46216</v>
      </c>
      <c r="F192" t="inlineStr">
        <is>
          <t>SKÅNE LÄN</t>
        </is>
      </c>
      <c r="G192" t="inlineStr">
        <is>
          <t>HÖÖR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16787-2025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46216</v>
      </c>
      <c r="F193" t="inlineStr">
        <is>
          <t>SKÅNE LÄN</t>
        </is>
      </c>
      <c r="G193" t="inlineStr">
        <is>
          <t>HÖÖR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50196-2022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46216</v>
      </c>
      <c r="F194" t="inlineStr">
        <is>
          <t>SKÅNE LÄN</t>
        </is>
      </c>
      <c r="G194" t="inlineStr">
        <is>
          <t>HÖÖR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30951-2023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46216</v>
      </c>
      <c r="F195" t="inlineStr">
        <is>
          <t>SKÅNE LÄN</t>
        </is>
      </c>
      <c r="G195" t="inlineStr">
        <is>
          <t>HÖÖR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27723-2026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46191</v>
      </c>
      <c r="E196" s="1" t="n">
        <v>46216</v>
      </c>
      <c r="F196" t="inlineStr">
        <is>
          <t>SKÅNE LÄN</t>
        </is>
      </c>
      <c r="G196" t="inlineStr">
        <is>
          <t>HÖÖR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50330-2023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46216</v>
      </c>
      <c r="F197" t="inlineStr">
        <is>
          <t>SKÅNE LÄN</t>
        </is>
      </c>
      <c r="G197" t="inlineStr">
        <is>
          <t>HÖÖR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50332-2023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45216</v>
      </c>
      <c r="E198" s="1" t="n">
        <v>46216</v>
      </c>
      <c r="F198" t="inlineStr">
        <is>
          <t>SKÅNE LÄN</t>
        </is>
      </c>
      <c r="G198" t="inlineStr">
        <is>
          <t>HÖÖR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23005-2024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45450</v>
      </c>
      <c r="E199" s="1" t="n">
        <v>46216</v>
      </c>
      <c r="F199" t="inlineStr">
        <is>
          <t>SKÅNE LÄN</t>
        </is>
      </c>
      <c r="G199" t="inlineStr">
        <is>
          <t>HÖÖR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28335-2024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45477</v>
      </c>
      <c r="E200" s="1" t="n">
        <v>46216</v>
      </c>
      <c r="F200" t="inlineStr">
        <is>
          <t>SKÅNE LÄN</t>
        </is>
      </c>
      <c r="G200" t="inlineStr">
        <is>
          <t>HÖÖR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34704-2024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45526</v>
      </c>
      <c r="E201" s="1" t="n">
        <v>46216</v>
      </c>
      <c r="F201" t="inlineStr">
        <is>
          <t>SKÅNE LÄN</t>
        </is>
      </c>
      <c r="G201" t="inlineStr">
        <is>
          <t>HÖÖR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22514-2026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46216</v>
      </c>
      <c r="F202" t="inlineStr">
        <is>
          <t>SKÅNE LÄN</t>
        </is>
      </c>
      <c r="G202" t="inlineStr">
        <is>
          <t>HÖÖR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12833-2023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45001</v>
      </c>
      <c r="E203" s="1" t="n">
        <v>46216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27368-2026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46216</v>
      </c>
      <c r="F204" t="inlineStr">
        <is>
          <t>SKÅNE LÄN</t>
        </is>
      </c>
      <c r="G204" t="inlineStr">
        <is>
          <t>HÖÖR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28597-2026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46216</v>
      </c>
      <c r="F205" t="inlineStr">
        <is>
          <t>SKÅNE LÄN</t>
        </is>
      </c>
      <c r="G205" t="inlineStr">
        <is>
          <t>HÖÖR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28223-2026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46196</v>
      </c>
      <c r="E206" s="1" t="n">
        <v>46216</v>
      </c>
      <c r="F206" t="inlineStr">
        <is>
          <t>SKÅNE LÄN</t>
        </is>
      </c>
      <c r="G206" t="inlineStr">
        <is>
          <t>HÖÖR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37082-2024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45539</v>
      </c>
      <c r="E207" s="1" t="n">
        <v>46216</v>
      </c>
      <c r="F207" t="inlineStr">
        <is>
          <t>SKÅNE LÄN</t>
        </is>
      </c>
      <c r="G207" t="inlineStr">
        <is>
          <t>HÖÖR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28849-2026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46216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25795-2026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46216</v>
      </c>
      <c r="F209" t="inlineStr">
        <is>
          <t>SKÅNE LÄN</t>
        </is>
      </c>
      <c r="G209" t="inlineStr">
        <is>
          <t>HÖÖR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20381-2025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46216</v>
      </c>
      <c r="F210" t="inlineStr">
        <is>
          <t>SKÅNE LÄN</t>
        </is>
      </c>
      <c r="G210" t="inlineStr">
        <is>
          <t>HÖÖR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19633-2023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45051</v>
      </c>
      <c r="E211" s="1" t="n">
        <v>46216</v>
      </c>
      <c r="F211" t="inlineStr">
        <is>
          <t>SKÅNE LÄN</t>
        </is>
      </c>
      <c r="G211" t="inlineStr">
        <is>
          <t>HÖÖR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22966-2026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46160</v>
      </c>
      <c r="E212" s="1" t="n">
        <v>46216</v>
      </c>
      <c r="F212" t="inlineStr">
        <is>
          <t>SKÅNE LÄN</t>
        </is>
      </c>
      <c r="G212" t="inlineStr">
        <is>
          <t>HÖÖR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22964-2026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46160</v>
      </c>
      <c r="E213" s="1" t="n">
        <v>46216</v>
      </c>
      <c r="F213" t="inlineStr">
        <is>
          <t>SKÅNE LÄN</t>
        </is>
      </c>
      <c r="G213" t="inlineStr">
        <is>
          <t>HÖÖR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53956-2023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45231</v>
      </c>
      <c r="E214" s="1" t="n">
        <v>46216</v>
      </c>
      <c r="F214" t="inlineStr">
        <is>
          <t>SKÅNE LÄN</t>
        </is>
      </c>
      <c r="G214" t="inlineStr">
        <is>
          <t>HÖÖR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45685</v>
      </c>
      <c r="E215" s="1" t="n">
        <v>46216</v>
      </c>
      <c r="F215" t="inlineStr">
        <is>
          <t>SKÅNE LÄN</t>
        </is>
      </c>
      <c r="G215" t="inlineStr">
        <is>
          <t>HÖÖR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6589-2025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46216</v>
      </c>
      <c r="F216" t="inlineStr">
        <is>
          <t>SKÅNE LÄN</t>
        </is>
      </c>
      <c r="G216" t="inlineStr">
        <is>
          <t>HÖÖR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61011-2023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45261</v>
      </c>
      <c r="E217" s="1" t="n">
        <v>46216</v>
      </c>
      <c r="F217" t="inlineStr">
        <is>
          <t>SKÅNE LÄN</t>
        </is>
      </c>
      <c r="G217" t="inlineStr">
        <is>
          <t>HÖÖR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29867-2026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46205</v>
      </c>
      <c r="E218" s="1" t="n">
        <v>46216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30339-2026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46216</v>
      </c>
      <c r="F219" t="inlineStr">
        <is>
          <t>SKÅNE LÄN</t>
        </is>
      </c>
      <c r="G219" t="inlineStr">
        <is>
          <t>HÖÖR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18246-2023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45041</v>
      </c>
      <c r="E220" s="1" t="n">
        <v>46216</v>
      </c>
      <c r="F220" t="inlineStr">
        <is>
          <t>SKÅNE LÄN</t>
        </is>
      </c>
      <c r="G220" t="inlineStr">
        <is>
          <t>HÖÖR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4501-2024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46216</v>
      </c>
      <c r="F221" t="inlineStr">
        <is>
          <t>SKÅNE LÄN</t>
        </is>
      </c>
      <c r="G221" t="inlineStr">
        <is>
          <t>HÖÖR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56231-2022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44890</v>
      </c>
      <c r="E222" s="1" t="n">
        <v>46216</v>
      </c>
      <c r="F222" t="inlineStr">
        <is>
          <t>SKÅNE LÄN</t>
        </is>
      </c>
      <c r="G222" t="inlineStr">
        <is>
          <t>HÖÖR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9701-2023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44984</v>
      </c>
      <c r="E223" s="1" t="n">
        <v>46216</v>
      </c>
      <c r="F223" t="inlineStr">
        <is>
          <t>SKÅNE LÄN</t>
        </is>
      </c>
      <c r="G223" t="inlineStr">
        <is>
          <t>HÖÖR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7782-2022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44608</v>
      </c>
      <c r="E224" s="1" t="n">
        <v>46216</v>
      </c>
      <c r="F224" t="inlineStr">
        <is>
          <t>SKÅNE LÄN</t>
        </is>
      </c>
      <c r="G224" t="inlineStr">
        <is>
          <t>HÖÖR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45574</v>
      </c>
      <c r="E225" s="1" t="n">
        <v>46216</v>
      </c>
      <c r="F225" t="inlineStr">
        <is>
          <t>SKÅNE LÄN</t>
        </is>
      </c>
      <c r="G225" t="inlineStr">
        <is>
          <t>HÖÖR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12025-2025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46216</v>
      </c>
      <c r="F226" t="inlineStr">
        <is>
          <t>SKÅNE LÄN</t>
        </is>
      </c>
      <c r="G226" t="inlineStr">
        <is>
          <t>HÖÖR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54798-2023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45236</v>
      </c>
      <c r="E227" s="1" t="n">
        <v>46216</v>
      </c>
      <c r="F227" t="inlineStr">
        <is>
          <t>SKÅNE LÄN</t>
        </is>
      </c>
      <c r="G227" t="inlineStr">
        <is>
          <t>HÖÖR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43469-2024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45568</v>
      </c>
      <c r="E228" s="1" t="n">
        <v>46216</v>
      </c>
      <c r="F228" t="inlineStr">
        <is>
          <t>SKÅNE LÄN</t>
        </is>
      </c>
      <c r="G228" t="inlineStr">
        <is>
          <t>HÖÖR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73544-2021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44551</v>
      </c>
      <c r="E229" s="1" t="n">
        <v>46216</v>
      </c>
      <c r="F229" t="inlineStr">
        <is>
          <t>SKÅNE LÄN</t>
        </is>
      </c>
      <c r="G229" t="inlineStr">
        <is>
          <t>HÖÖR</t>
        </is>
      </c>
      <c r="H229" t="inlineStr">
        <is>
          <t>Övriga statliga verk och myndigheter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50250-2024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45600</v>
      </c>
      <c r="E230" s="1" t="n">
        <v>46216</v>
      </c>
      <c r="F230" t="inlineStr">
        <is>
          <t>SKÅNE LÄN</t>
        </is>
      </c>
      <c r="G230" t="inlineStr">
        <is>
          <t>HÖÖR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9466-2025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46216</v>
      </c>
      <c r="F231" t="inlineStr">
        <is>
          <t>SKÅNE LÄN</t>
        </is>
      </c>
      <c r="G231" t="inlineStr">
        <is>
          <t>HÖÖR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12028-2025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46216</v>
      </c>
      <c r="F232" t="inlineStr">
        <is>
          <t>SKÅNE LÄN</t>
        </is>
      </c>
      <c r="G232" t="inlineStr">
        <is>
          <t>HÖÖR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23116-2025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46216</v>
      </c>
      <c r="F233" t="inlineStr">
        <is>
          <t>SKÅNE LÄN</t>
        </is>
      </c>
      <c r="G233" t="inlineStr">
        <is>
          <t>HÖÖR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61019-2024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45645</v>
      </c>
      <c r="E234" s="1" t="n">
        <v>46216</v>
      </c>
      <c r="F234" t="inlineStr">
        <is>
          <t>SKÅNE LÄN</t>
        </is>
      </c>
      <c r="G234" t="inlineStr">
        <is>
          <t>HÖÖR</t>
        </is>
      </c>
      <c r="H234" t="inlineStr">
        <is>
          <t>Kommuner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27251-2024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46216</v>
      </c>
      <c r="F235" t="inlineStr">
        <is>
          <t>SKÅNE LÄN</t>
        </is>
      </c>
      <c r="G235" t="inlineStr">
        <is>
          <t>HÖÖR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48921-2024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46216</v>
      </c>
      <c r="F236" t="inlineStr">
        <is>
          <t>SKÅNE LÄN</t>
        </is>
      </c>
      <c r="G236" t="inlineStr">
        <is>
          <t>HÖÖR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48909-2024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45594</v>
      </c>
      <c r="E237" s="1" t="n">
        <v>46216</v>
      </c>
      <c r="F237" t="inlineStr">
        <is>
          <t>SKÅNE LÄN</t>
        </is>
      </c>
      <c r="G237" t="inlineStr">
        <is>
          <t>HÖÖR</t>
        </is>
      </c>
      <c r="I237" t="n">
        <v>28.4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2442-2022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44691</v>
      </c>
      <c r="E238" s="1" t="n">
        <v>46216</v>
      </c>
      <c r="F238" t="inlineStr">
        <is>
          <t>SKÅNE LÄN</t>
        </is>
      </c>
      <c r="G238" t="inlineStr">
        <is>
          <t>HÖÖR</t>
        </is>
      </c>
      <c r="I238" t="n">
        <v>12.4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4383-2023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45265</v>
      </c>
      <c r="E239" s="1" t="n">
        <v>46216</v>
      </c>
      <c r="F239" t="inlineStr">
        <is>
          <t>SKÅNE LÄN</t>
        </is>
      </c>
      <c r="G239" t="inlineStr">
        <is>
          <t>HÖÖR</t>
        </is>
      </c>
      <c r="I239" t="n">
        <v>18.9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8937-2021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44509</v>
      </c>
      <c r="E240" s="1" t="n">
        <v>46216</v>
      </c>
      <c r="F240" t="inlineStr">
        <is>
          <t>SKÅNE LÄN</t>
        </is>
      </c>
      <c r="G240" t="inlineStr">
        <is>
          <t>HÖÖR</t>
        </is>
      </c>
      <c r="I240" t="n">
        <v>35.9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3693-2023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45218</v>
      </c>
      <c r="E241" s="1" t="n">
        <v>46216</v>
      </c>
      <c r="F241" t="inlineStr">
        <is>
          <t>SKÅNE LÄN</t>
        </is>
      </c>
      <c r="G241" t="inlineStr">
        <is>
          <t>HÖÖR</t>
        </is>
      </c>
      <c r="I241" t="n">
        <v>35.7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221-2025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45680</v>
      </c>
      <c r="E242" s="1" t="n">
        <v>46216</v>
      </c>
      <c r="F242" t="inlineStr">
        <is>
          <t>SKÅNE LÄN</t>
        </is>
      </c>
      <c r="G242" t="inlineStr">
        <is>
          <t>HÖÖR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3468-2024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45539</v>
      </c>
      <c r="E243" s="1" t="n">
        <v>46216</v>
      </c>
      <c r="F243" t="inlineStr">
        <is>
          <t>SKÅNE LÄN</t>
        </is>
      </c>
      <c r="G243" t="inlineStr">
        <is>
          <t>HÖÖR</t>
        </is>
      </c>
      <c r="I243" t="n">
        <v>10.2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2441-2023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45114</v>
      </c>
      <c r="E244" s="1" t="n">
        <v>46216</v>
      </c>
      <c r="F244" t="inlineStr">
        <is>
          <t>SKÅNE LÄN</t>
        </is>
      </c>
      <c r="G244" t="inlineStr">
        <is>
          <t>HÖÖR</t>
        </is>
      </c>
      <c r="I244" t="n">
        <v>12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3794-2024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45558</v>
      </c>
      <c r="E245" s="1" t="n">
        <v>46216</v>
      </c>
      <c r="F245" t="inlineStr">
        <is>
          <t>SKÅNE LÄN</t>
        </is>
      </c>
      <c r="G245" t="inlineStr">
        <is>
          <t>HÖÖR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S 792-2025</t>
        </is>
      </c>
      <c r="B246" t="inlineStr">
        <is>
          <t>samrådsanmälan</t>
        </is>
      </c>
      <c r="C246" t="inlineStr">
        <is>
          <t>Askåterföring</t>
        </is>
      </c>
      <c r="D246" s="1" t="n">
        <v>45729</v>
      </c>
      <c r="E246" s="1" t="n">
        <v>46216</v>
      </c>
      <c r="F246" t="inlineStr">
        <is>
          <t>SKÅNE LÄN</t>
        </is>
      </c>
      <c r="G246" t="inlineStr">
        <is>
          <t>HÖÖR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S 310-2025</t>
        </is>
      </c>
      <c r="B247" t="inlineStr">
        <is>
          <t>samrådsanmälan</t>
        </is>
      </c>
      <c r="C247" t="inlineStr">
        <is>
          <t>Askåterföring</t>
        </is>
      </c>
      <c r="D247" s="1" t="n">
        <v>45688</v>
      </c>
      <c r="E247" s="1" t="n">
        <v>46216</v>
      </c>
      <c r="F247" t="inlineStr">
        <is>
          <t>SKÅNE LÄN</t>
        </is>
      </c>
      <c r="G247" t="inlineStr">
        <is>
          <t>HÖÖR</t>
        </is>
      </c>
      <c r="I247" t="n">
        <v>16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S 1522-2025</t>
        </is>
      </c>
      <c r="B248" t="inlineStr">
        <is>
          <t>samrådsanmälan</t>
        </is>
      </c>
      <c r="C248" t="inlineStr">
        <is>
          <t>Askåterföring</t>
        </is>
      </c>
      <c r="D248" s="1" t="n">
        <v>45791</v>
      </c>
      <c r="E248" s="1" t="n">
        <v>46216</v>
      </c>
      <c r="F248" t="inlineStr">
        <is>
          <t>SKÅNE LÄN</t>
        </is>
      </c>
      <c r="G248" t="inlineStr">
        <is>
          <t>HÖÖR</t>
        </is>
      </c>
      <c r="I248" t="n">
        <v>30.6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S 1063-2026</t>
        </is>
      </c>
      <c r="B249" t="inlineStr">
        <is>
          <t>samrådsanmälan</t>
        </is>
      </c>
      <c r="C249" t="inlineStr">
        <is>
          <t>Askåterföring</t>
        </is>
      </c>
      <c r="D249" s="1" t="n">
        <v>46127</v>
      </c>
      <c r="E249" s="1" t="n">
        <v>46216</v>
      </c>
      <c r="F249" t="inlineStr">
        <is>
          <t>SKÅNE LÄN</t>
        </is>
      </c>
      <c r="G249" t="inlineStr">
        <is>
          <t>HÖÖR</t>
        </is>
      </c>
      <c r="I249" t="n">
        <v>23.5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>
      <c r="A250" t="inlineStr">
        <is>
          <t>S 1492-2026</t>
        </is>
      </c>
      <c r="B250" t="inlineStr">
        <is>
          <t>samrådsanmälan</t>
        </is>
      </c>
      <c r="C250" t="inlineStr">
        <is>
          <t>Askåterföring</t>
        </is>
      </c>
      <c r="D250" s="1" t="n">
        <v>46162</v>
      </c>
      <c r="E250" s="1" t="n">
        <v>46216</v>
      </c>
      <c r="F250" t="inlineStr">
        <is>
          <t>SKÅNE LÄN</t>
        </is>
      </c>
      <c r="G250" t="inlineStr">
        <is>
          <t>HÖÖR</t>
        </is>
      </c>
      <c r="I250" t="n">
        <v>9.699999999999999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2026-07-13T14:48:52Z</dcterms:created>
  <dcterms:modified xmlns:dcterms="http://purl.org/dc/terms/" xmlns:xsi="http://www.w3.org/2001/XMLSchema-instance" xsi:type="dcterms:W3CDTF">2026-07-13T14:48:52Z</dcterms:modified>
</cp:coreProperties>
</file>