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46248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46248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46248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46248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46248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46248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46248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46248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46248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46248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46248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46248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46248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46248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46248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46248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46248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46248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46248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46248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46248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46248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46248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46248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46248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46248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46248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46248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46248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18348-2022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44685</v>
      </c>
      <c r="E31" s="1" t="n">
        <v>46248</v>
      </c>
      <c r="F31" t="inlineStr">
        <is>
          <t>SKÅNE LÄN</t>
        </is>
      </c>
      <c r="G31" t="inlineStr">
        <is>
          <t>HÖÖR</t>
        </is>
      </c>
      <c r="H31" t="inlineStr">
        <is>
          <t>Sveaskog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Klotullört</t>
        </is>
      </c>
      <c r="W31">
        <f>HYPERLINK("https://klasma.github.io/Logging_1267/artfynd/A 18348-2022 artfynd.xlsx", "A 18348-2022")</f>
        <v/>
      </c>
      <c r="X31">
        <f>HYPERLINK("https://klasma.github.io/Logging_1267/kartor/A 18348-2022 karta.png", "A 18348-2022")</f>
        <v/>
      </c>
      <c r="Y31">
        <f>HYPERLINK("https://klasma.github.io/Logging_1267/kartor_geotiff/A 18348-2022 georefererad karta.tif", "A 18348-2022")</f>
        <v/>
      </c>
      <c r="AA31">
        <f>HYPERLINK("https://klasma.github.io/Logging_1267/klagomål/A 18348-2022 FSC-klagomål.docx", "A 18348-2022")</f>
        <v/>
      </c>
      <c r="AB31">
        <f>HYPERLINK("https://klasma.github.io/Logging_1267/klagomålsmail/A 18348-2022 FSC-klagomål mail.docx", "A 18348-2022")</f>
        <v/>
      </c>
      <c r="AC31">
        <f>HYPERLINK("https://klasma.github.io/Logging_1267/tillsyn/A 18348-2022 tillsynsbegäran.docx", "A 18348-2022")</f>
        <v/>
      </c>
      <c r="AD31">
        <f>HYPERLINK("https://klasma.github.io/Logging_1267/tillsynsmail/A 18348-2022 tillsynsbegäran mail.docx", "A 18348-2022")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46248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46248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46248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46248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46248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46248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22569-2024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46248</v>
      </c>
      <c r="F38" t="inlineStr">
        <is>
          <t>SKÅNE LÄN</t>
        </is>
      </c>
      <c r="G38" t="inlineStr">
        <is>
          <t>HÖÖR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HYPERLINK("https://klasma.github.io/Logging_1267/artfynd/A 22569-2024 artfynd.xlsx", "A 22569-2024")</f>
        <v/>
      </c>
      <c r="X38">
        <f>HYPERLINK("https://klasma.github.io/Logging_1267/kartor/A 22569-2024 karta.png", "A 22569-2024")</f>
        <v/>
      </c>
      <c r="Y38">
        <f>HYPERLINK("https://klasma.github.io/Logging_1267/kartor_geotiff/A 22569-2024 georefererad karta.tif", "A 22569-2024")</f>
        <v/>
      </c>
      <c r="AA38">
        <f>HYPERLINK("https://klasma.github.io/Logging_1267/klagomål/A 22569-2024 FSC-klagomål.docx", "A 22569-2024")</f>
        <v/>
      </c>
      <c r="AB38">
        <f>HYPERLINK("https://klasma.github.io/Logging_1267/klagomålsmail/A 22569-2024 FSC-klagomål mail.docx", "A 22569-2024")</f>
        <v/>
      </c>
      <c r="AC38">
        <f>HYPERLINK("https://klasma.github.io/Logging_1267/tillsyn/A 22569-2024 tillsynsbegäran.docx", "A 22569-2024")</f>
        <v/>
      </c>
      <c r="AD38">
        <f>HYPERLINK("https://klasma.github.io/Logging_1267/tillsynsmail/A 22569-2024 tillsynsbegäran mail.docx", "A 22569-2024")</f>
        <v/>
      </c>
      <c r="AE38">
        <f>HYPERLINK("https://klasma.github.io/Logging_1267/fåglar/A 22569-2024 prioriterade fågelarter.docx", "A 22569-2024")</f>
        <v/>
      </c>
    </row>
    <row r="39" ht="15" customHeight="1">
      <c r="A39" t="inlineStr">
        <is>
          <t>A 45550-2025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46248</v>
      </c>
      <c r="F39" t="inlineStr">
        <is>
          <t>SKÅNE LÄN</t>
        </is>
      </c>
      <c r="G39" t="inlineStr">
        <is>
          <t>HÖÖR</t>
        </is>
      </c>
      <c r="I39" t="n">
        <v>4.7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45550-2025 artfynd.xlsx", "A 45550-2025")</f>
        <v/>
      </c>
      <c r="X39">
        <f>HYPERLINK("https://klasma.github.io/Logging_1267/kartor/A 45550-2025 karta.png", "A 45550-2025")</f>
        <v/>
      </c>
      <c r="Y39">
        <f>HYPERLINK("https://klasma.github.io/Logging_1267/kartor_geotiff/A 45550-2025 georefererad karta.tif", "A 45550-2025")</f>
        <v/>
      </c>
      <c r="AA39">
        <f>HYPERLINK("https://klasma.github.io/Logging_1267/klagomål/A 45550-2025 FSC-klagomål.docx", "A 45550-2025")</f>
        <v/>
      </c>
      <c r="AB39">
        <f>HYPERLINK("https://klasma.github.io/Logging_1267/klagomålsmail/A 45550-2025 FSC-klagomål mail.docx", "A 45550-2025")</f>
        <v/>
      </c>
      <c r="AC39">
        <f>HYPERLINK("https://klasma.github.io/Logging_1267/tillsyn/A 45550-2025 tillsynsbegäran.docx", "A 45550-2025")</f>
        <v/>
      </c>
      <c r="AD39">
        <f>HYPERLINK("https://klasma.github.io/Logging_1267/tillsynsmail/A 45550-2025 tillsynsbegäran mail.docx", "A 45550-2025")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46248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Småvänderot</t>
        </is>
      </c>
      <c r="W40">
        <f>HYPERLINK("https://klasma.github.io/Logging_1267/artfynd/A 48926-2024 artfynd.xlsx", "A 48926-2024")</f>
        <v/>
      </c>
      <c r="X40">
        <f>HYPERLINK("https://klasma.github.io/Logging_1267/kartor/A 48926-2024 karta.png", "A 48926-2024")</f>
        <v/>
      </c>
      <c r="Y40">
        <f>HYPERLINK("https://klasma.github.io/Logging_1267/kartor_geotiff/A 48926-2024 georefererad karta.tif", "A 48926-2024")</f>
        <v/>
      </c>
      <c r="AA40">
        <f>HYPERLINK("https://klasma.github.io/Logging_1267/klagomål/A 48926-2024 FSC-klagomål.docx", "A 48926-2024")</f>
        <v/>
      </c>
      <c r="AB40">
        <f>HYPERLINK("https://klasma.github.io/Logging_1267/klagomålsmail/A 48926-2024 FSC-klagomål mail.docx", "A 48926-2024")</f>
        <v/>
      </c>
      <c r="AC40">
        <f>HYPERLINK("https://klasma.github.io/Logging_1267/tillsyn/A 48926-2024 tillsynsbegäran.docx", "A 48926-2024")</f>
        <v/>
      </c>
      <c r="AD40">
        <f>HYPERLINK("https://klasma.github.io/Logging_1267/tillsynsmail/A 48926-2024 tillsynsbegäran mail.docx", "A 48926-2024")</f>
        <v/>
      </c>
    </row>
    <row r="41" ht="15" customHeight="1">
      <c r="A41" t="inlineStr">
        <is>
          <t>S 8915-2021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44504</v>
      </c>
      <c r="E41" s="1" t="n">
        <v>46248</v>
      </c>
      <c r="F41" t="inlineStr">
        <is>
          <t>SKÅNE LÄN</t>
        </is>
      </c>
      <c r="G41" t="inlineStr">
        <is>
          <t>HÖÖR</t>
        </is>
      </c>
      <c r="I41" t="n">
        <v>37.2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HYPERLINK("https://klasma.github.io/Logging_1267/artfynd/S 8915-2021 artfynd.xlsx", "S 8915-2021")</f>
        <v/>
      </c>
      <c r="X41">
        <f>HYPERLINK("https://klasma.github.io/Logging_1267/kartor/S 8915-2021 karta.png", "S 8915-2021")</f>
        <v/>
      </c>
      <c r="Y41">
        <f>HYPERLINK("https://klasma.github.io/Logging_1267/kartor_geotiff/S 8915-2021 georefererad karta.tif", "S 8915-2021")</f>
        <v/>
      </c>
      <c r="AA41">
        <f>HYPERLINK("https://klasma.github.io/Logging_1267/klagomål/S 8915-2021 FSC-klagomål.docx", "S 8915-2021")</f>
        <v/>
      </c>
      <c r="AB41">
        <f>HYPERLINK("https://klasma.github.io/Logging_1267/klagomålsmail/S 8915-2021 FSC-klagomål mail.docx", "S 8915-2021")</f>
        <v/>
      </c>
      <c r="AC41">
        <f>HYPERLINK("https://klasma.github.io/Logging_1267/tillsyn/S 8915-2021 tillsynsbegäran.docx", "S 8915-2021")</f>
        <v/>
      </c>
      <c r="AD41">
        <f>HYPERLINK("https://klasma.github.io/Logging_1267/tillsynsmail/S 8915-2021 tillsynsbegäran mail.docx", "S 8915-2021")</f>
        <v/>
      </c>
    </row>
    <row r="42" ht="15" customHeight="1">
      <c r="A42" t="inlineStr">
        <is>
          <t>S 5973-2022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44858</v>
      </c>
      <c r="E42" s="1" t="n">
        <v>46248</v>
      </c>
      <c r="F42" t="inlineStr">
        <is>
          <t>SKÅNE LÄN</t>
        </is>
      </c>
      <c r="G42" t="inlineStr">
        <is>
          <t>HÖÖR</t>
        </is>
      </c>
      <c r="I42" t="n">
        <v>15.5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Grönvit nattviol</t>
        </is>
      </c>
      <c r="W42">
        <f>HYPERLINK("https://klasma.github.io/Logging_1267/artfynd/S 5973-2022 artfynd.xlsx", "S 5973-2022")</f>
        <v/>
      </c>
      <c r="X42">
        <f>HYPERLINK("https://klasma.github.io/Logging_1267/kartor/S 5973-2022 karta.png", "S 5973-2022")</f>
        <v/>
      </c>
      <c r="Y42">
        <f>HYPERLINK("https://klasma.github.io/Logging_1267/kartor_geotiff/S 5973-2022 georefererad karta.tif", "S 5973-2022")</f>
        <v/>
      </c>
      <c r="AA42">
        <f>HYPERLINK("https://klasma.github.io/Logging_1267/klagomål/S 5973-2022 FSC-klagomål.docx", "S 5973-2022")</f>
        <v/>
      </c>
      <c r="AB42">
        <f>HYPERLINK("https://klasma.github.io/Logging_1267/klagomålsmail/S 5973-2022 FSC-klagomål mail.docx", "S 5973-2022")</f>
        <v/>
      </c>
      <c r="AC42">
        <f>HYPERLINK("https://klasma.github.io/Logging_1267/tillsyn/S 5973-2022 tillsynsbegäran.docx", "S 5973-2022")</f>
        <v/>
      </c>
      <c r="AD42">
        <f>HYPERLINK("https://klasma.github.io/Logging_1267/tillsynsmail/S 5973-2022 tillsynsbegäran mail.docx", "S 5973-2022")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46248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46248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HYPERLINK("https://klasma.github.io/Logging_1267/artfynd/S 309-2025 artfynd.xlsx", "S 309-2025")</f>
        <v/>
      </c>
      <c r="X44">
        <f>HYPERLINK("https://klasma.github.io/Logging_1267/kartor/S 309-2025 karta.png", "S 309-2025")</f>
        <v/>
      </c>
      <c r="Y44">
        <f>HYPERLINK("https://klasma.github.io/Logging_1267/kartor_geotiff/S 309-2025 georefererad karta.tif", "S 309-2025")</f>
        <v/>
      </c>
      <c r="AA44">
        <f>HYPERLINK("https://klasma.github.io/Logging_1267/klagomål/S 309-2025 FSC-klagomål.docx", "S 309-2025")</f>
        <v/>
      </c>
      <c r="AB44">
        <f>HYPERLINK("https://klasma.github.io/Logging_1267/klagomålsmail/S 309-2025 FSC-klagomål mail.docx", "S 309-2025")</f>
        <v/>
      </c>
      <c r="AC44">
        <f>HYPERLINK("https://klasma.github.io/Logging_1267/tillsyn/S 309-2025 tillsynsbegäran.docx", "S 309-2025")</f>
        <v/>
      </c>
      <c r="AD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46248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Gullpudra</t>
        </is>
      </c>
      <c r="W45">
        <f>HYPERLINK("https://klasma.github.io/Logging_1267/artfynd/S 791-2025 artfynd.xlsx", "S 791-2025")</f>
        <v/>
      </c>
      <c r="X45">
        <f>HYPERLINK("https://klasma.github.io/Logging_1267/kartor/S 791-2025 karta.png", "S 791-2025")</f>
        <v/>
      </c>
      <c r="Y45">
        <f>HYPERLINK("https://klasma.github.io/Logging_1267/kartor_geotiff/S 791-2025 georefererad karta.tif", "S 791-2025")</f>
        <v/>
      </c>
      <c r="AA45">
        <f>HYPERLINK("https://klasma.github.io/Logging_1267/klagomål/S 791-2025 FSC-klagomål.docx", "S 791-2025")</f>
        <v/>
      </c>
      <c r="AB45">
        <f>HYPERLINK("https://klasma.github.io/Logging_1267/klagomålsmail/S 791-2025 FSC-klagomål mail.docx", "S 791-2025")</f>
        <v/>
      </c>
      <c r="AC45">
        <f>HYPERLINK("https://klasma.github.io/Logging_1267/tillsyn/S 791-2025 tillsynsbegäran.docx", "S 791-2025")</f>
        <v/>
      </c>
      <c r="AD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46248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Småvänderot</t>
        </is>
      </c>
      <c r="W46">
        <f>HYPERLINK("https://klasma.github.io/Logging_1267/artfynd/S 4216-2023 artfynd.xlsx", "S 4216-2023")</f>
        <v/>
      </c>
      <c r="X46">
        <f>HYPERLINK("https://klasma.github.io/Logging_1267/kartor/S 4216-2023 karta.png", "S 4216-2023")</f>
        <v/>
      </c>
      <c r="Y46">
        <f>HYPERLINK("https://klasma.github.io/Logging_1267/kartor_geotiff/S 4216-2023 georefererad karta.tif", "S 4216-2023")</f>
        <v/>
      </c>
      <c r="AA46">
        <f>HYPERLINK("https://klasma.github.io/Logging_1267/klagomål/S 4216-2023 FSC-klagomål.docx", "S 4216-2023")</f>
        <v/>
      </c>
      <c r="AB46">
        <f>HYPERLINK("https://klasma.github.io/Logging_1267/klagomålsmail/S 4216-2023 FSC-klagomål mail.docx", "S 4216-2023")</f>
        <v/>
      </c>
      <c r="AC46">
        <f>HYPERLINK("https://klasma.github.io/Logging_1267/tillsyn/S 4216-2023 tillsynsbegäran.docx", "S 4216-2023")</f>
        <v/>
      </c>
      <c r="AD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46248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44460</v>
      </c>
      <c r="E48" s="1" t="n">
        <v>46248</v>
      </c>
      <c r="F48" t="inlineStr">
        <is>
          <t>SKÅNE LÄN</t>
        </is>
      </c>
      <c r="G48" t="inlineStr">
        <is>
          <t>HÖÖR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51120-2021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44461</v>
      </c>
      <c r="E49" s="1" t="n">
        <v>46248</v>
      </c>
      <c r="F49" t="inlineStr">
        <is>
          <t>SKÅNE LÄN</t>
        </is>
      </c>
      <c r="G49" t="inlineStr">
        <is>
          <t>HÖÖR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46248</v>
      </c>
      <c r="F50" t="inlineStr">
        <is>
          <t>SKÅNE LÄN</t>
        </is>
      </c>
      <c r="G50" t="inlineStr">
        <is>
          <t>HÖÖR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46248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46248</v>
      </c>
      <c r="F52" t="inlineStr">
        <is>
          <t>SKÅNE LÄN</t>
        </is>
      </c>
      <c r="G52" t="inlineStr">
        <is>
          <t>HÖÖR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46107-2021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46248</v>
      </c>
      <c r="F53" t="inlineStr">
        <is>
          <t>SKÅNE LÄN</t>
        </is>
      </c>
      <c r="G53" t="inlineStr">
        <is>
          <t>HÖÖR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46248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46248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46248</v>
      </c>
      <c r="F56" t="inlineStr">
        <is>
          <t>SKÅNE LÄN</t>
        </is>
      </c>
      <c r="G56" t="inlineStr">
        <is>
          <t>HÖÖR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46248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46248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45159</v>
      </c>
      <c r="E59" s="1" t="n">
        <v>46248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46248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45477</v>
      </c>
      <c r="E61" s="1" t="n">
        <v>46248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46248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28332-2024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45477</v>
      </c>
      <c r="E63" s="1" t="n">
        <v>46248</v>
      </c>
      <c r="F63" t="inlineStr">
        <is>
          <t>SKÅNE LÄN</t>
        </is>
      </c>
      <c r="G63" t="inlineStr">
        <is>
          <t>HÖÖR</t>
        </is>
      </c>
      <c r="I63" t="n">
        <v>7.5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46248</v>
      </c>
      <c r="F64" t="inlineStr">
        <is>
          <t>SKÅNE LÄN</t>
        </is>
      </c>
      <c r="G64" t="inlineStr">
        <is>
          <t>HÖÖR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65200-2021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44515</v>
      </c>
      <c r="E65" s="1" t="n">
        <v>46248</v>
      </c>
      <c r="F65" t="inlineStr">
        <is>
          <t>SKÅNE LÄN</t>
        </is>
      </c>
      <c r="G65" t="inlineStr">
        <is>
          <t>HÖÖR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46248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45741</v>
      </c>
      <c r="E67" s="1" t="n">
        <v>46248</v>
      </c>
      <c r="F67" t="inlineStr">
        <is>
          <t>SKÅNE LÄN</t>
        </is>
      </c>
      <c r="G67" t="inlineStr">
        <is>
          <t>HÖÖR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45698</v>
      </c>
      <c r="E68" s="1" t="n">
        <v>46248</v>
      </c>
      <c r="F68" t="inlineStr">
        <is>
          <t>SKÅNE LÄN</t>
        </is>
      </c>
      <c r="G68" t="inlineStr">
        <is>
          <t>HÖÖR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31092-2023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45113</v>
      </c>
      <c r="E69" s="1" t="n">
        <v>46248</v>
      </c>
      <c r="F69" t="inlineStr">
        <is>
          <t>SKÅNE LÄN</t>
        </is>
      </c>
      <c r="G69" t="inlineStr">
        <is>
          <t>HÖÖR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46248</v>
      </c>
      <c r="F70" t="inlineStr">
        <is>
          <t>SKÅNE LÄN</t>
        </is>
      </c>
      <c r="G70" t="inlineStr">
        <is>
          <t>HÖÖR</t>
        </is>
      </c>
      <c r="H70" t="inlineStr">
        <is>
          <t>Övriga statliga verk och myndigheter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45338</v>
      </c>
      <c r="E71" s="1" t="n">
        <v>46248</v>
      </c>
      <c r="F71" t="inlineStr">
        <is>
          <t>SKÅNE LÄN</t>
        </is>
      </c>
      <c r="G71" t="inlineStr">
        <is>
          <t>HÖÖR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46248</v>
      </c>
      <c r="F72" t="inlineStr">
        <is>
          <t>SKÅNE LÄN</t>
        </is>
      </c>
      <c r="G72" t="inlineStr">
        <is>
          <t>HÖÖR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46248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46248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46248</v>
      </c>
      <c r="F75" t="inlineStr">
        <is>
          <t>SKÅNE LÄN</t>
        </is>
      </c>
      <c r="G75" t="inlineStr">
        <is>
          <t>HÖÖR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44672</v>
      </c>
      <c r="E76" s="1" t="n">
        <v>46248</v>
      </c>
      <c r="F76" t="inlineStr">
        <is>
          <t>SKÅNE LÄN</t>
        </is>
      </c>
      <c r="G76" t="inlineStr">
        <is>
          <t>HÖÖR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45343</v>
      </c>
      <c r="E77" s="1" t="n">
        <v>46248</v>
      </c>
      <c r="F77" t="inlineStr">
        <is>
          <t>SKÅNE LÄN</t>
        </is>
      </c>
      <c r="G77" t="inlineStr">
        <is>
          <t>HÖÖR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46248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46248</v>
      </c>
      <c r="F79" t="inlineStr">
        <is>
          <t>SKÅNE LÄN</t>
        </is>
      </c>
      <c r="G79" t="inlineStr">
        <is>
          <t>HÖÖR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46248</v>
      </c>
      <c r="F80" t="inlineStr">
        <is>
          <t>SKÅNE LÄN</t>
        </is>
      </c>
      <c r="G80" t="inlineStr">
        <is>
          <t>HÖÖR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46248</v>
      </c>
      <c r="F81" t="inlineStr">
        <is>
          <t>SKÅNE LÄN</t>
        </is>
      </c>
      <c r="G81" t="inlineStr">
        <is>
          <t>HÖÖR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46248</v>
      </c>
      <c r="F82" t="inlineStr">
        <is>
          <t>SKÅNE LÄN</t>
        </is>
      </c>
      <c r="G82" t="inlineStr">
        <is>
          <t>HÖÖR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46248</v>
      </c>
      <c r="F83" t="inlineStr">
        <is>
          <t>SKÅNE LÄN</t>
        </is>
      </c>
      <c r="G83" t="inlineStr">
        <is>
          <t>HÖÖR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46248</v>
      </c>
      <c r="F84" t="inlineStr">
        <is>
          <t>SKÅNE LÄN</t>
        </is>
      </c>
      <c r="G84" t="inlineStr">
        <is>
          <t>HÖÖR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45315</v>
      </c>
      <c r="E85" s="1" t="n">
        <v>46248</v>
      </c>
      <c r="F85" t="inlineStr">
        <is>
          <t>SKÅNE LÄN</t>
        </is>
      </c>
      <c r="G85" t="inlineStr">
        <is>
          <t>HÖÖR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12855-2023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45001</v>
      </c>
      <c r="E86" s="1" t="n">
        <v>46248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45005</v>
      </c>
      <c r="E87" s="1" t="n">
        <v>46248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45057</v>
      </c>
      <c r="E88" s="1" t="n">
        <v>46248</v>
      </c>
      <c r="F88" t="inlineStr">
        <is>
          <t>SKÅNE LÄN</t>
        </is>
      </c>
      <c r="G88" t="inlineStr">
        <is>
          <t>HÖÖR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11379-2024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46248</v>
      </c>
      <c r="F89" t="inlineStr">
        <is>
          <t>SKÅNE LÄN</t>
        </is>
      </c>
      <c r="G89" t="inlineStr">
        <is>
          <t>HÖÖR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46248</v>
      </c>
      <c r="F90" t="inlineStr">
        <is>
          <t>SKÅNE LÄN</t>
        </is>
      </c>
      <c r="G90" t="inlineStr">
        <is>
          <t>HÖÖR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45273</v>
      </c>
      <c r="E91" s="1" t="n">
        <v>46248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46248</v>
      </c>
      <c r="F92" t="inlineStr">
        <is>
          <t>SKÅNE LÄN</t>
        </is>
      </c>
      <c r="G92" t="inlineStr">
        <is>
          <t>HÖÖR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46248</v>
      </c>
      <c r="F93" t="inlineStr">
        <is>
          <t>SKÅNE LÄN</t>
        </is>
      </c>
      <c r="G93" t="inlineStr">
        <is>
          <t>HÖÖR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46248</v>
      </c>
      <c r="F94" t="inlineStr">
        <is>
          <t>SKÅNE LÄN</t>
        </is>
      </c>
      <c r="G94" t="inlineStr">
        <is>
          <t>HÖÖR</t>
        </is>
      </c>
      <c r="I94" t="n">
        <v>12.3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46248</v>
      </c>
      <c r="F95" t="inlineStr">
        <is>
          <t>SKÅNE LÄN</t>
        </is>
      </c>
      <c r="G95" t="inlineStr">
        <is>
          <t>HÖÖR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45618</v>
      </c>
      <c r="E96" s="1" t="n">
        <v>46248</v>
      </c>
      <c r="F96" t="inlineStr">
        <is>
          <t>SKÅNE LÄN</t>
        </is>
      </c>
      <c r="G96" t="inlineStr">
        <is>
          <t>HÖÖR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44874</v>
      </c>
      <c r="E97" s="1" t="n">
        <v>46248</v>
      </c>
      <c r="F97" t="inlineStr">
        <is>
          <t>SKÅNE LÄN</t>
        </is>
      </c>
      <c r="G97" t="inlineStr">
        <is>
          <t>HÖÖR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46248</v>
      </c>
      <c r="F98" t="inlineStr">
        <is>
          <t>SKÅNE LÄN</t>
        </is>
      </c>
      <c r="G98" t="inlineStr">
        <is>
          <t>HÖÖR</t>
        </is>
      </c>
      <c r="H98" t="inlineStr">
        <is>
          <t>Sveaskog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46248</v>
      </c>
      <c r="F99" t="inlineStr">
        <is>
          <t>SKÅNE LÄN</t>
        </is>
      </c>
      <c r="G99" t="inlineStr">
        <is>
          <t>HÖÖR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46248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46248</v>
      </c>
      <c r="F101" t="inlineStr">
        <is>
          <t>SKÅNE LÄN</t>
        </is>
      </c>
      <c r="G101" t="inlineStr">
        <is>
          <t>HÖÖR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46248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46248</v>
      </c>
      <c r="F103" t="inlineStr">
        <is>
          <t>SKÅNE LÄN</t>
        </is>
      </c>
      <c r="G103" t="inlineStr">
        <is>
          <t>HÖÖR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45037</v>
      </c>
      <c r="E104" s="1" t="n">
        <v>46248</v>
      </c>
      <c r="F104" t="inlineStr">
        <is>
          <t>SKÅNE LÄN</t>
        </is>
      </c>
      <c r="G104" t="inlineStr">
        <is>
          <t>HÖÖR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46248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46248</v>
      </c>
      <c r="F106" t="inlineStr">
        <is>
          <t>SKÅNE LÄN</t>
        </is>
      </c>
      <c r="G106" t="inlineStr">
        <is>
          <t>HÖÖR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46248</v>
      </c>
      <c r="F107" t="inlineStr">
        <is>
          <t>SKÅNE LÄN</t>
        </is>
      </c>
      <c r="G107" t="inlineStr">
        <is>
          <t>HÖÖR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44672</v>
      </c>
      <c r="E108" s="1" t="n">
        <v>46248</v>
      </c>
      <c r="F108" t="inlineStr">
        <is>
          <t>SKÅNE LÄN</t>
        </is>
      </c>
      <c r="G108" t="inlineStr">
        <is>
          <t>HÖÖR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46248</v>
      </c>
      <c r="F109" t="inlineStr">
        <is>
          <t>SKÅNE LÄN</t>
        </is>
      </c>
      <c r="G109" t="inlineStr">
        <is>
          <t>HÖÖR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46248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45190</v>
      </c>
      <c r="E111" s="1" t="n">
        <v>46248</v>
      </c>
      <c r="F111" t="inlineStr">
        <is>
          <t>SKÅNE LÄN</t>
        </is>
      </c>
      <c r="G111" t="inlineStr">
        <is>
          <t>HÖÖR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45323</v>
      </c>
      <c r="E112" s="1" t="n">
        <v>46248</v>
      </c>
      <c r="F112" t="inlineStr">
        <is>
          <t>SKÅNE LÄN</t>
        </is>
      </c>
      <c r="G112" t="inlineStr">
        <is>
          <t>HÖÖR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46248</v>
      </c>
      <c r="F113" t="inlineStr">
        <is>
          <t>SKÅNE LÄN</t>
        </is>
      </c>
      <c r="G113" t="inlineStr">
        <is>
          <t>HÖÖR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46248</v>
      </c>
      <c r="F114" t="inlineStr">
        <is>
          <t>SKÅNE LÄN</t>
        </is>
      </c>
      <c r="G114" t="inlineStr">
        <is>
          <t>HÖÖR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46248</v>
      </c>
      <c r="F115" t="inlineStr">
        <is>
          <t>SKÅNE LÄN</t>
        </is>
      </c>
      <c r="G115" t="inlineStr">
        <is>
          <t>HÖÖR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45175</v>
      </c>
      <c r="E116" s="1" t="n">
        <v>46248</v>
      </c>
      <c r="F116" t="inlineStr">
        <is>
          <t>SKÅNE LÄN</t>
        </is>
      </c>
      <c r="G116" t="inlineStr">
        <is>
          <t>HÖÖR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46248</v>
      </c>
      <c r="F117" t="inlineStr">
        <is>
          <t>SKÅNE LÄN</t>
        </is>
      </c>
      <c r="G117" t="inlineStr">
        <is>
          <t>HÖÖR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46248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44596</v>
      </c>
      <c r="E119" s="1" t="n">
        <v>46248</v>
      </c>
      <c r="F119" t="inlineStr">
        <is>
          <t>SKÅNE LÄN</t>
        </is>
      </c>
      <c r="G119" t="inlineStr">
        <is>
          <t>HÖÖR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46248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46248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46248</v>
      </c>
      <c r="F122" t="inlineStr">
        <is>
          <t>SKÅNE LÄN</t>
        </is>
      </c>
      <c r="G122" t="inlineStr">
        <is>
          <t>HÖÖR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46248</v>
      </c>
      <c r="F123" t="inlineStr">
        <is>
          <t>SKÅNE LÄN</t>
        </is>
      </c>
      <c r="G123" t="inlineStr">
        <is>
          <t>HÖÖR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46248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46248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46248</v>
      </c>
      <c r="F126" t="inlineStr">
        <is>
          <t>SKÅNE LÄN</t>
        </is>
      </c>
      <c r="G126" t="inlineStr">
        <is>
          <t>HÖÖR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45477</v>
      </c>
      <c r="E127" s="1" t="n">
        <v>46248</v>
      </c>
      <c r="F127" t="inlineStr">
        <is>
          <t>SKÅNE LÄN</t>
        </is>
      </c>
      <c r="G127" t="inlineStr">
        <is>
          <t>HÖÖR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46248</v>
      </c>
      <c r="F128" t="inlineStr">
        <is>
          <t>SKÅNE LÄN</t>
        </is>
      </c>
      <c r="G128" t="inlineStr">
        <is>
          <t>HÖÖR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46248</v>
      </c>
      <c r="F129" t="inlineStr">
        <is>
          <t>SKÅNE LÄN</t>
        </is>
      </c>
      <c r="G129" t="inlineStr">
        <is>
          <t>HÖÖR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46248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45526</v>
      </c>
      <c r="E131" s="1" t="n">
        <v>46248</v>
      </c>
      <c r="F131" t="inlineStr">
        <is>
          <t>SKÅNE LÄN</t>
        </is>
      </c>
      <c r="G131" t="inlineStr">
        <is>
          <t>HÖÖR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45574</v>
      </c>
      <c r="E132" s="1" t="n">
        <v>46248</v>
      </c>
      <c r="F132" t="inlineStr">
        <is>
          <t>SKÅNE LÄN</t>
        </is>
      </c>
      <c r="G132" t="inlineStr">
        <is>
          <t>HÖÖR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46248</v>
      </c>
      <c r="F133" t="inlineStr">
        <is>
          <t>SKÅNE LÄN</t>
        </is>
      </c>
      <c r="G133" t="inlineStr">
        <is>
          <t>HÖÖR</t>
        </is>
      </c>
      <c r="H133" t="inlineStr">
        <is>
          <t>Övriga statliga verk och myndigheter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44741</v>
      </c>
      <c r="E134" s="1" t="n">
        <v>46248</v>
      </c>
      <c r="F134" t="inlineStr">
        <is>
          <t>SKÅNE LÄN</t>
        </is>
      </c>
      <c r="G134" t="inlineStr">
        <is>
          <t>HÖÖR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46248</v>
      </c>
      <c r="F135" t="inlineStr">
        <is>
          <t>SKÅNE LÄN</t>
        </is>
      </c>
      <c r="G135" t="inlineStr">
        <is>
          <t>HÖÖR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46248</v>
      </c>
      <c r="F136" t="inlineStr">
        <is>
          <t>SKÅNE LÄN</t>
        </is>
      </c>
      <c r="G136" t="inlineStr">
        <is>
          <t>HÖÖR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46248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44970</v>
      </c>
      <c r="E138" s="1" t="n">
        <v>46248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46248</v>
      </c>
      <c r="F139" t="inlineStr">
        <is>
          <t>SKÅNE LÄN</t>
        </is>
      </c>
      <c r="G139" t="inlineStr">
        <is>
          <t>HÖÖR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36211-2024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45534</v>
      </c>
      <c r="E140" s="1" t="n">
        <v>46248</v>
      </c>
      <c r="F140" t="inlineStr">
        <is>
          <t>SKÅNE LÄN</t>
        </is>
      </c>
      <c r="G140" t="inlineStr">
        <is>
          <t>HÖÖR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45672</v>
      </c>
      <c r="E141" s="1" t="n">
        <v>46248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46248</v>
      </c>
      <c r="F142" t="inlineStr">
        <is>
          <t>SKÅNE LÄN</t>
        </is>
      </c>
      <c r="G142" t="inlineStr">
        <is>
          <t>HÖÖR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46248</v>
      </c>
      <c r="F143" t="inlineStr">
        <is>
          <t>SKÅNE LÄN</t>
        </is>
      </c>
      <c r="G143" t="inlineStr">
        <is>
          <t>HÖÖR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46248</v>
      </c>
      <c r="F144" t="inlineStr">
        <is>
          <t>SKÅNE LÄN</t>
        </is>
      </c>
      <c r="G144" t="inlineStr">
        <is>
          <t>HÖÖR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46248</v>
      </c>
      <c r="F145" t="inlineStr">
        <is>
          <t>SKÅNE LÄN</t>
        </is>
      </c>
      <c r="G145" t="inlineStr">
        <is>
          <t>HÖÖR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46248</v>
      </c>
      <c r="F146" t="inlineStr">
        <is>
          <t>SKÅNE LÄN</t>
        </is>
      </c>
      <c r="G146" t="inlineStr">
        <is>
          <t>HÖÖR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51131-2021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44461</v>
      </c>
      <c r="E147" s="1" t="n">
        <v>46248</v>
      </c>
      <c r="F147" t="inlineStr">
        <is>
          <t>SKÅNE LÄN</t>
        </is>
      </c>
      <c r="G147" t="inlineStr">
        <is>
          <t>HÖÖR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60425-2022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44911</v>
      </c>
      <c r="E148" s="1" t="n">
        <v>46248</v>
      </c>
      <c r="F148" t="inlineStr">
        <is>
          <t>SKÅNE LÄN</t>
        </is>
      </c>
      <c r="G148" t="inlineStr">
        <is>
          <t>HÖÖR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61087-2022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44915</v>
      </c>
      <c r="E149" s="1" t="n">
        <v>46248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46248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44621</v>
      </c>
      <c r="E151" s="1" t="n">
        <v>46248</v>
      </c>
      <c r="F151" t="inlineStr">
        <is>
          <t>SKÅNE LÄN</t>
        </is>
      </c>
      <c r="G151" t="inlineStr">
        <is>
          <t>HÖÖR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46248</v>
      </c>
      <c r="F152" t="inlineStr">
        <is>
          <t>SKÅNE LÄN</t>
        </is>
      </c>
      <c r="G152" t="inlineStr">
        <is>
          <t>HÖÖR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46248</v>
      </c>
      <c r="F153" t="inlineStr">
        <is>
          <t>SKÅNE LÄN</t>
        </is>
      </c>
      <c r="G153" t="inlineStr">
        <is>
          <t>HÖÖR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46248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28189-2024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46248</v>
      </c>
      <c r="F155" t="inlineStr">
        <is>
          <t>SKÅNE LÄN</t>
        </is>
      </c>
      <c r="G155" t="inlineStr">
        <is>
          <t>HÖÖR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46248</v>
      </c>
      <c r="F156" t="inlineStr">
        <is>
          <t>SKÅNE LÄN</t>
        </is>
      </c>
      <c r="G156" t="inlineStr">
        <is>
          <t>HÖÖR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45532</v>
      </c>
      <c r="E157" s="1" t="n">
        <v>46248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16110-2024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45406</v>
      </c>
      <c r="E158" s="1" t="n">
        <v>46248</v>
      </c>
      <c r="F158" t="inlineStr">
        <is>
          <t>SKÅNE LÄN</t>
        </is>
      </c>
      <c r="G158" t="inlineStr">
        <is>
          <t>HÖÖR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46248</v>
      </c>
      <c r="F159" t="inlineStr">
        <is>
          <t>SKÅNE LÄN</t>
        </is>
      </c>
      <c r="G159" t="inlineStr">
        <is>
          <t>HÖÖR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46248</v>
      </c>
      <c r="F160" t="inlineStr">
        <is>
          <t>SKÅNE LÄN</t>
        </is>
      </c>
      <c r="G160" t="inlineStr">
        <is>
          <t>HÖÖR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45327</v>
      </c>
      <c r="E161" s="1" t="n">
        <v>46248</v>
      </c>
      <c r="F161" t="inlineStr">
        <is>
          <t>SKÅNE LÄN</t>
        </is>
      </c>
      <c r="G161" t="inlineStr">
        <is>
          <t>HÖÖR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46248</v>
      </c>
      <c r="F162" t="inlineStr">
        <is>
          <t>SKÅNE LÄN</t>
        </is>
      </c>
      <c r="G162" t="inlineStr">
        <is>
          <t>HÖÖR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46248</v>
      </c>
      <c r="F163" t="inlineStr">
        <is>
          <t>SKÅNE LÄN</t>
        </is>
      </c>
      <c r="G163" t="inlineStr">
        <is>
          <t>HÖÖR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46248</v>
      </c>
      <c r="F164" t="inlineStr">
        <is>
          <t>SKÅNE LÄN</t>
        </is>
      </c>
      <c r="G164" t="inlineStr">
        <is>
          <t>HÖÖR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46248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46248</v>
      </c>
      <c r="F166" t="inlineStr">
        <is>
          <t>SKÅNE LÄN</t>
        </is>
      </c>
      <c r="G166" t="inlineStr">
        <is>
          <t>HÖÖR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46248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46248</v>
      </c>
      <c r="F168" t="inlineStr">
        <is>
          <t>SKÅNE LÄN</t>
        </is>
      </c>
      <c r="G168" t="inlineStr">
        <is>
          <t>HÖÖR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46248</v>
      </c>
      <c r="F169" t="inlineStr">
        <is>
          <t>SKÅNE LÄN</t>
        </is>
      </c>
      <c r="G169" t="inlineStr">
        <is>
          <t>HÖÖR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46248</v>
      </c>
      <c r="F170" t="inlineStr">
        <is>
          <t>SKÅNE LÄN</t>
        </is>
      </c>
      <c r="G170" t="inlineStr">
        <is>
          <t>HÖÖR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46248</v>
      </c>
      <c r="F171" t="inlineStr">
        <is>
          <t>SKÅNE LÄN</t>
        </is>
      </c>
      <c r="G171" t="inlineStr">
        <is>
          <t>HÖÖR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46248</v>
      </c>
      <c r="F172" t="inlineStr">
        <is>
          <t>SKÅNE LÄN</t>
        </is>
      </c>
      <c r="G172" t="inlineStr">
        <is>
          <t>HÖÖR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46248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46248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46248</v>
      </c>
      <c r="F175" t="inlineStr">
        <is>
          <t>SKÅNE LÄN</t>
        </is>
      </c>
      <c r="G175" t="inlineStr">
        <is>
          <t>HÖÖR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46155</v>
      </c>
      <c r="E176" s="1" t="n">
        <v>46248</v>
      </c>
      <c r="F176" t="inlineStr">
        <is>
          <t>SKÅNE LÄN</t>
        </is>
      </c>
      <c r="G176" t="inlineStr">
        <is>
          <t>HÖÖR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46248</v>
      </c>
      <c r="F177" t="inlineStr">
        <is>
          <t>SKÅNE LÄN</t>
        </is>
      </c>
      <c r="G177" t="inlineStr">
        <is>
          <t>HÖÖR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73544-2021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46248</v>
      </c>
      <c r="F178" t="inlineStr">
        <is>
          <t>SKÅNE LÄN</t>
        </is>
      </c>
      <c r="G178" t="inlineStr">
        <is>
          <t>HÖÖR</t>
        </is>
      </c>
      <c r="H178" t="inlineStr">
        <is>
          <t>Övriga statliga verk och myndigheter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46248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46248</v>
      </c>
      <c r="F180" t="inlineStr">
        <is>
          <t>SKÅNE LÄN</t>
        </is>
      </c>
      <c r="G180" t="inlineStr">
        <is>
          <t>HÖÖR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46248</v>
      </c>
      <c r="F181" t="inlineStr">
        <is>
          <t>SKÅNE LÄN</t>
        </is>
      </c>
      <c r="G181" t="inlineStr">
        <is>
          <t>HÖÖR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46248</v>
      </c>
      <c r="F182" t="inlineStr">
        <is>
          <t>SKÅNE LÄN</t>
        </is>
      </c>
      <c r="G182" t="inlineStr">
        <is>
          <t>HÖÖR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45728</v>
      </c>
      <c r="E183" s="1" t="n">
        <v>46248</v>
      </c>
      <c r="F183" t="inlineStr">
        <is>
          <t>SKÅNE LÄN</t>
        </is>
      </c>
      <c r="G183" t="inlineStr">
        <is>
          <t>HÖÖR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46248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45645</v>
      </c>
      <c r="E185" s="1" t="n">
        <v>46248</v>
      </c>
      <c r="F185" t="inlineStr">
        <is>
          <t>SKÅNE LÄN</t>
        </is>
      </c>
      <c r="G185" t="inlineStr">
        <is>
          <t>HÖÖR</t>
        </is>
      </c>
      <c r="H185" t="inlineStr">
        <is>
          <t>Kommuner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46248</v>
      </c>
      <c r="F186" t="inlineStr">
        <is>
          <t>SKÅNE LÄN</t>
        </is>
      </c>
      <c r="G186" t="inlineStr">
        <is>
          <t>HÖÖR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46248</v>
      </c>
      <c r="F187" t="inlineStr">
        <is>
          <t>SKÅNE LÄN</t>
        </is>
      </c>
      <c r="G187" t="inlineStr">
        <is>
          <t>HÖÖR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46248</v>
      </c>
      <c r="F188" t="inlineStr">
        <is>
          <t>SKÅNE LÄN</t>
        </is>
      </c>
      <c r="G188" t="inlineStr">
        <is>
          <t>HÖÖR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46248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45594</v>
      </c>
      <c r="E190" s="1" t="n">
        <v>46248</v>
      </c>
      <c r="F190" t="inlineStr">
        <is>
          <t>SKÅNE LÄN</t>
        </is>
      </c>
      <c r="G190" t="inlineStr">
        <is>
          <t>HÖÖR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45164-2025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45919</v>
      </c>
      <c r="E191" s="1" t="n">
        <v>46248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46248</v>
      </c>
      <c r="F192" t="inlineStr">
        <is>
          <t>SKÅNE LÄN</t>
        </is>
      </c>
      <c r="G192" t="inlineStr">
        <is>
          <t>HÖÖR</t>
        </is>
      </c>
      <c r="I192" t="n">
        <v>28.4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46248</v>
      </c>
      <c r="F193" t="inlineStr">
        <is>
          <t>SKÅNE LÄN</t>
        </is>
      </c>
      <c r="G193" t="inlineStr">
        <is>
          <t>HÖÖR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45940</v>
      </c>
      <c r="E194" s="1" t="n">
        <v>46248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46248</v>
      </c>
      <c r="F195" t="inlineStr">
        <is>
          <t>SKÅNE LÄN</t>
        </is>
      </c>
      <c r="G195" t="inlineStr">
        <is>
          <t>HÖÖR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46248</v>
      </c>
      <c r="F196" t="inlineStr">
        <is>
          <t>SKÅNE LÄN</t>
        </is>
      </c>
      <c r="G196" t="inlineStr">
        <is>
          <t>HÖÖR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46248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46248</v>
      </c>
      <c r="F198" t="inlineStr">
        <is>
          <t>SKÅNE LÄN</t>
        </is>
      </c>
      <c r="G198" t="inlineStr">
        <is>
          <t>HÖÖR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46248</v>
      </c>
      <c r="F199" t="inlineStr">
        <is>
          <t>SKÅNE LÄN</t>
        </is>
      </c>
      <c r="G199" t="inlineStr">
        <is>
          <t>HÖÖR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46248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46248</v>
      </c>
      <c r="F201" t="inlineStr">
        <is>
          <t>SKÅNE LÄN</t>
        </is>
      </c>
      <c r="G201" t="inlineStr">
        <is>
          <t>HÖÖR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46248</v>
      </c>
      <c r="F202" t="inlineStr">
        <is>
          <t>SKÅNE LÄN</t>
        </is>
      </c>
      <c r="G202" t="inlineStr">
        <is>
          <t>HÖÖR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46248</v>
      </c>
      <c r="F203" t="inlineStr">
        <is>
          <t>SKÅNE LÄN</t>
        </is>
      </c>
      <c r="G203" t="inlineStr">
        <is>
          <t>HÖÖR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46248</v>
      </c>
      <c r="F204" t="inlineStr">
        <is>
          <t>SKÅNE LÄN</t>
        </is>
      </c>
      <c r="G204" t="inlineStr">
        <is>
          <t>HÖÖR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46248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46248</v>
      </c>
      <c r="F206" t="inlineStr">
        <is>
          <t>SKÅNE LÄN</t>
        </is>
      </c>
      <c r="G206" t="inlineStr">
        <is>
          <t>HÖÖR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46248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46248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46248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46248</v>
      </c>
      <c r="F210" t="inlineStr">
        <is>
          <t>SKÅNE LÄN</t>
        </is>
      </c>
      <c r="G210" t="inlineStr">
        <is>
          <t>HÖÖR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46248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56941-2025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45978</v>
      </c>
      <c r="E212" s="1" t="n">
        <v>46248</v>
      </c>
      <c r="F212" t="inlineStr">
        <is>
          <t>SKÅNE LÄN</t>
        </is>
      </c>
      <c r="G212" t="inlineStr">
        <is>
          <t>HÖÖR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46023</v>
      </c>
      <c r="E213" s="1" t="n">
        <v>46248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46023</v>
      </c>
      <c r="E214" s="1" t="n">
        <v>46248</v>
      </c>
      <c r="F214" t="inlineStr">
        <is>
          <t>SKÅNE LÄN</t>
        </is>
      </c>
      <c r="G214" t="inlineStr">
        <is>
          <t>HÖÖR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46248</v>
      </c>
      <c r="F215" t="inlineStr">
        <is>
          <t>SKÅNE LÄN</t>
        </is>
      </c>
      <c r="G215" t="inlineStr">
        <is>
          <t>HÖÖR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46205</v>
      </c>
      <c r="E216" s="1" t="n">
        <v>46248</v>
      </c>
      <c r="F216" t="inlineStr">
        <is>
          <t>SKÅNE LÄN</t>
        </is>
      </c>
      <c r="G216" t="inlineStr">
        <is>
          <t>HÖÖR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46248</v>
      </c>
      <c r="F217" t="inlineStr">
        <is>
          <t>SKÅNE LÄN</t>
        </is>
      </c>
      <c r="G217" t="inlineStr">
        <is>
          <t>HÖÖR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46248</v>
      </c>
      <c r="F218" t="inlineStr">
        <is>
          <t>SKÅNE LÄN</t>
        </is>
      </c>
      <c r="G218" t="inlineStr">
        <is>
          <t>HÖÖR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8290-2026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46064</v>
      </c>
      <c r="E219" s="1" t="n">
        <v>46248</v>
      </c>
      <c r="F219" t="inlineStr">
        <is>
          <t>SKÅNE LÄN</t>
        </is>
      </c>
      <c r="G219" t="inlineStr">
        <is>
          <t>HÖÖR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46248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45987</v>
      </c>
      <c r="E221" s="1" t="n">
        <v>46248</v>
      </c>
      <c r="F221" t="inlineStr">
        <is>
          <t>SKÅNE LÄN</t>
        </is>
      </c>
      <c r="G221" t="inlineStr">
        <is>
          <t>HÖÖR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18696-2026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46248</v>
      </c>
      <c r="F222" t="inlineStr">
        <is>
          <t>SKÅNE LÄN</t>
        </is>
      </c>
      <c r="G222" t="inlineStr">
        <is>
          <t>HÖÖR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46121</v>
      </c>
      <c r="E223" s="1" t="n">
        <v>46248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46248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46248</v>
      </c>
      <c r="F225" t="inlineStr">
        <is>
          <t>SKÅNE LÄN</t>
        </is>
      </c>
      <c r="G225" t="inlineStr">
        <is>
          <t>HÖÖR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46064</v>
      </c>
      <c r="E226" s="1" t="n">
        <v>46248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46248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46248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46248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46248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46248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46248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46248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46248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46248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46248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46248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46248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46248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