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46308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46308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24278-2023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45079</v>
      </c>
      <c r="E12" s="1" t="n">
        <v>46308</v>
      </c>
      <c r="F12" t="inlineStr">
        <is>
          <t>SKÅNE LÄN</t>
        </is>
      </c>
      <c r="G12" t="inlineStr">
        <is>
          <t>HÖÖR</t>
        </is>
      </c>
      <c r="I12" t="n">
        <v>0.8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Björktrast
Rödvingetrast
Spillkråka
Sångsvan
Trana</t>
        </is>
      </c>
      <c r="W12">
        <f>HYPERLINK("https://klasma.github.io/Logging_1267/artfynd/A 24278-2023 artfynd.xlsx", "A 24278-2023")</f>
        <v/>
      </c>
      <c r="X12">
        <f>HYPERLINK("https://klasma.github.io/Logging_1267/kartor/A 24278-2023 karta.png", "A 24278-2023")</f>
        <v/>
      </c>
      <c r="Y12">
        <f>HYPERLINK("https://klasma.github.io/Logging_1267/kartor_geotiff/A 24278-2023 georefererad karta.tif", "A 24278-2023")</f>
        <v/>
      </c>
      <c r="AA12">
        <f>HYPERLINK("https://klasma.github.io/Logging_1267/klagomål/A 24278-2023 FSC-klagomål.docx", "A 24278-2023")</f>
        <v/>
      </c>
      <c r="AB12">
        <f>HYPERLINK("https://klasma.github.io/Logging_1267/klagomålsmail/A 24278-2023 FSC-klagomål mail.docx", "A 24278-2023")</f>
        <v/>
      </c>
      <c r="AC12">
        <f>HYPERLINK("https://klasma.github.io/Logging_1267/tillsyn/A 24278-2023 tillsynsbegäran.docx", "A 24278-2023")</f>
        <v/>
      </c>
      <c r="AD12">
        <f>HYPERLINK("https://klasma.github.io/Logging_1267/tillsynsmail/A 24278-2023 tillsynsbegäran mail.docx", "A 24278-2023")</f>
        <v/>
      </c>
      <c r="AE12">
        <f>HYPERLINK("https://klasma.github.io/Logging_1267/fåglar/A 24278-2023 prioriterade fågelarter.docx", "A 24278-2023")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46308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46308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46308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46308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38317-2026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46308</v>
      </c>
      <c r="F22" t="inlineStr">
        <is>
          <t>SKÅNE LÄN</t>
        </is>
      </c>
      <c r="G22" t="inlineStr">
        <is>
          <t>HÖÖR</t>
        </is>
      </c>
      <c r="I22" t="n">
        <v>1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Småvänderot
Gullpudra</t>
        </is>
      </c>
      <c r="W22">
        <f>HYPERLINK("https://klasma.github.io/Logging_1267/artfynd/A 38317-2026 artfynd.xlsx", "A 38317-2026")</f>
        <v/>
      </c>
      <c r="X22">
        <f>HYPERLINK("https://klasma.github.io/Logging_1267/kartor/A 38317-2026 karta.png", "A 38317-2026")</f>
        <v/>
      </c>
      <c r="Y22">
        <f>HYPERLINK("https://klasma.github.io/Logging_1267/kartor_geotiff/A 38317-2026 georefererad karta.tif", "A 38317-2026")</f>
        <v/>
      </c>
      <c r="AA22">
        <f>HYPERLINK("https://klasma.github.io/Logging_1267/klagomål/A 38317-2026 FSC-klagomål.docx", "A 38317-2026")</f>
        <v/>
      </c>
      <c r="AB22">
        <f>HYPERLINK("https://klasma.github.io/Logging_1267/klagomålsmail/A 38317-2026 FSC-klagomål mail.docx", "A 38317-2026")</f>
        <v/>
      </c>
      <c r="AC22">
        <f>HYPERLINK("https://klasma.github.io/Logging_1267/tillsyn/A 38317-2026 tillsynsbegäran.docx", "A 38317-2026")</f>
        <v/>
      </c>
      <c r="AD22">
        <f>HYPERLINK("https://klasma.github.io/Logging_1267/tillsynsmail/A 38317-2026 tillsynsbegäran mail.docx", "A 38317-2026")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46308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46308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46308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Spillkråka</t>
        </is>
      </c>
      <c r="W25">
        <f>HYPERLINK("https://klasma.github.io/Logging_1267/artfynd/A 8329-2026 artfynd.xlsx", "A 8329-2026")</f>
        <v/>
      </c>
      <c r="X25">
        <f>HYPERLINK("https://klasma.github.io/Logging_1267/kartor/A 8329-2026 karta.png", "A 8329-2026")</f>
        <v/>
      </c>
      <c r="Y25">
        <f>HYPERLINK("https://klasma.github.io/Logging_1267/kartor_geotiff/A 8329-2026 georefererad karta.tif", "A 8329-2026")</f>
        <v/>
      </c>
      <c r="AA25">
        <f>HYPERLINK("https://klasma.github.io/Logging_1267/klagomål/A 8329-2026 FSC-klagomål.docx", "A 8329-2026")</f>
        <v/>
      </c>
      <c r="AB25">
        <f>HYPERLINK("https://klasma.github.io/Logging_1267/klagomålsmail/A 8329-2026 FSC-klagomål mail.docx", "A 8329-2026")</f>
        <v/>
      </c>
      <c r="AC25">
        <f>HYPERLINK("https://klasma.github.io/Logging_1267/tillsyn/A 8329-2026 tillsynsbegäran.docx", "A 8329-2026")</f>
        <v/>
      </c>
      <c r="AD25">
        <f>HYPERLINK("https://klasma.github.io/Logging_1267/tillsynsmail/A 8329-2026 tillsynsbegäran mail.docx", "A 8329-2026")</f>
        <v/>
      </c>
      <c r="AE25">
        <f>HYPERLINK("https://klasma.github.io/Logging_1267/fåglar/A 8329-2026 prioriterade fågelarter.docx", "A 8329-2026")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46308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46308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46308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46308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46308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46308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22569-2024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46308</v>
      </c>
      <c r="F32" t="inlineStr">
        <is>
          <t>SKÅNE LÄN</t>
        </is>
      </c>
      <c r="G32" t="inlineStr">
        <is>
          <t>HÖÖR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HYPERLINK("https://klasma.github.io/Logging_1267/artfynd/A 22569-2024 artfynd.xlsx", "A 22569-2024")</f>
        <v/>
      </c>
      <c r="X32">
        <f>HYPERLINK("https://klasma.github.io/Logging_1267/kartor/A 22569-2024 karta.png", "A 22569-2024")</f>
        <v/>
      </c>
      <c r="Y32">
        <f>HYPERLINK("https://klasma.github.io/Logging_1267/kartor_geotiff/A 22569-2024 georefererad karta.tif", "A 22569-2024")</f>
        <v/>
      </c>
      <c r="AA32">
        <f>HYPERLINK("https://klasma.github.io/Logging_1267/klagomål/A 22569-2024 FSC-klagomål.docx", "A 22569-2024")</f>
        <v/>
      </c>
      <c r="AB32">
        <f>HYPERLINK("https://klasma.github.io/Logging_1267/klagomålsmail/A 22569-2024 FSC-klagomål mail.docx", "A 22569-2024")</f>
        <v/>
      </c>
      <c r="AC32">
        <f>HYPERLINK("https://klasma.github.io/Logging_1267/tillsyn/A 22569-2024 tillsynsbegäran.docx", "A 22569-2024")</f>
        <v/>
      </c>
      <c r="AD32">
        <f>HYPERLINK("https://klasma.github.io/Logging_1267/tillsynsmail/A 22569-2024 tillsynsbegäran mail.docx", "A 22569-2024")</f>
        <v/>
      </c>
      <c r="AE32">
        <f>HYPERLINK("https://klasma.github.io/Logging_1267/fåglar/A 22569-2024 prioriterade fågelarter.docx", "A 22569-2024")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46308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42053-2023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45174</v>
      </c>
      <c r="E34" s="1" t="n">
        <v>46308</v>
      </c>
      <c r="F34" t="inlineStr">
        <is>
          <t>SKÅNE LÄN</t>
        </is>
      </c>
      <c r="G34" t="inlineStr">
        <is>
          <t>HÖÖR</t>
        </is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42053-2023 artfynd.xlsx", "A 42053-2023")</f>
        <v/>
      </c>
      <c r="X34">
        <f>HYPERLINK("https://klasma.github.io/Logging_1267/kartor/A 42053-2023 karta.png", "A 42053-2023")</f>
        <v/>
      </c>
      <c r="Y34">
        <f>HYPERLINK("https://klasma.github.io/Logging_1267/kartor_geotiff/A 42053-2023 georefererad karta.tif", "A 42053-2023")</f>
        <v/>
      </c>
      <c r="AA34">
        <f>HYPERLINK("https://klasma.github.io/Logging_1267/klagomål/A 42053-2023 FSC-klagomål.docx", "A 42053-2023")</f>
        <v/>
      </c>
      <c r="AB34">
        <f>HYPERLINK("https://klasma.github.io/Logging_1267/klagomålsmail/A 42053-2023 FSC-klagomål mail.docx", "A 42053-2023")</f>
        <v/>
      </c>
      <c r="AC34">
        <f>HYPERLINK("https://klasma.github.io/Logging_1267/tillsyn/A 42053-2023 tillsynsbegäran.docx", "A 42053-2023")</f>
        <v/>
      </c>
      <c r="AD34">
        <f>HYPERLINK("https://klasma.github.io/Logging_1267/tillsynsmail/A 42053-2023 tillsynsbegäran mail.docx", "A 42053-2023")</f>
        <v/>
      </c>
    </row>
    <row r="35" ht="15" customHeight="1">
      <c r="A35" t="inlineStr">
        <is>
          <t>A 40493-2026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46295</v>
      </c>
      <c r="E35" s="1" t="n">
        <v>46308</v>
      </c>
      <c r="F35" t="inlineStr">
        <is>
          <t>SKÅNE LÄN</t>
        </is>
      </c>
      <c r="G35" t="inlineStr">
        <is>
          <t>HÖÖR</t>
        </is>
      </c>
      <c r="I35" t="n">
        <v>2.8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Kransrams</t>
        </is>
      </c>
      <c r="W35">
        <f>HYPERLINK("https://klasma.github.io/Logging_1267/artfynd/A 40493-2026 artfynd.xlsx", "A 40493-2026")</f>
        <v/>
      </c>
      <c r="X35">
        <f>HYPERLINK("https://klasma.github.io/Logging_1267/kartor/A 40493-2026 karta.png", "A 40493-2026")</f>
        <v/>
      </c>
      <c r="Y35">
        <f>HYPERLINK("https://klasma.github.io/Logging_1267/kartor_geotiff/A 40493-2026 georefererad karta.tif", "A 40493-2026")</f>
        <v/>
      </c>
      <c r="AA35">
        <f>HYPERLINK("https://klasma.github.io/Logging_1267/klagomål/A 40493-2026 FSC-klagomål.docx", "A 40493-2026")</f>
        <v/>
      </c>
      <c r="AB35">
        <f>HYPERLINK("https://klasma.github.io/Logging_1267/klagomålsmail/A 40493-2026 FSC-klagomål mail.docx", "A 40493-2026")</f>
        <v/>
      </c>
      <c r="AC35">
        <f>HYPERLINK("https://klasma.github.io/Logging_1267/tillsyn/A 40493-2026 tillsynsbegäran.docx", "A 40493-2026")</f>
        <v/>
      </c>
      <c r="AD35">
        <f>HYPERLINK("https://klasma.github.io/Logging_1267/tillsynsmail/A 40493-2026 tillsynsbegäran mail.docx", "A 40493-2026")</f>
        <v/>
      </c>
    </row>
    <row r="36" ht="15" customHeight="1">
      <c r="A36" t="inlineStr">
        <is>
          <t>A 34500-2026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46255</v>
      </c>
      <c r="E36" s="1" t="n">
        <v>46308</v>
      </c>
      <c r="F36" t="inlineStr">
        <is>
          <t>SKÅNE LÄN</t>
        </is>
      </c>
      <c r="G36" t="inlineStr">
        <is>
          <t>HÖÖR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HYPERLINK("https://klasma.github.io/Logging_1267/artfynd/A 34500-2026 artfynd.xlsx", "A 34500-2026")</f>
        <v/>
      </c>
      <c r="X36">
        <f>HYPERLINK("https://klasma.github.io/Logging_1267/kartor/A 34500-2026 karta.png", "A 34500-2026")</f>
        <v/>
      </c>
      <c r="Y36">
        <f>HYPERLINK("https://klasma.github.io/Logging_1267/kartor_geotiff/A 34500-2026 georefererad karta.tif", "A 34500-2026")</f>
        <v/>
      </c>
      <c r="AA36">
        <f>HYPERLINK("https://klasma.github.io/Logging_1267/klagomål/A 34500-2026 FSC-klagomål.docx", "A 34500-2026")</f>
        <v/>
      </c>
      <c r="AB36">
        <f>HYPERLINK("https://klasma.github.io/Logging_1267/klagomålsmail/A 34500-2026 FSC-klagomål mail.docx", "A 34500-2026")</f>
        <v/>
      </c>
      <c r="AC36">
        <f>HYPERLINK("https://klasma.github.io/Logging_1267/tillsyn/A 34500-2026 tillsynsbegäran.docx", "A 34500-2026")</f>
        <v/>
      </c>
      <c r="AD36">
        <f>HYPERLINK("https://klasma.github.io/Logging_1267/tillsynsmail/A 34500-2026 tillsynsbegäran mail.docx", "A 34500-2026")</f>
        <v/>
      </c>
    </row>
    <row r="37" ht="15" customHeight="1">
      <c r="A37" t="inlineStr">
        <is>
          <t>A 54753-2022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46308</v>
      </c>
      <c r="F37" t="inlineStr">
        <is>
          <t>SKÅNE LÄN</t>
        </is>
      </c>
      <c r="G37" t="inlineStr">
        <is>
          <t>HÖÖR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HYPERLINK("https://klasma.github.io/Logging_1267/artfynd/A 54753-2022 artfynd.xlsx", "A 54753-2022")</f>
        <v/>
      </c>
      <c r="X37">
        <f>HYPERLINK("https://klasma.github.io/Logging_1267/kartor/A 54753-2022 karta.png", "A 54753-2022")</f>
        <v/>
      </c>
      <c r="Y37">
        <f>HYPERLINK("https://klasma.github.io/Logging_1267/kartor_geotiff/A 54753-2022 georefererad karta.tif", "A 54753-2022")</f>
        <v/>
      </c>
      <c r="AA37">
        <f>HYPERLINK("https://klasma.github.io/Logging_1267/klagomål/A 54753-2022 FSC-klagomål.docx", "A 54753-2022")</f>
        <v/>
      </c>
      <c r="AB37">
        <f>HYPERLINK("https://klasma.github.io/Logging_1267/klagomålsmail/A 54753-2022 FSC-klagomål mail.docx", "A 54753-2022")</f>
        <v/>
      </c>
      <c r="AC37">
        <f>HYPERLINK("https://klasma.github.io/Logging_1267/tillsyn/A 54753-2022 tillsynsbegäran.docx", "A 54753-2022")</f>
        <v/>
      </c>
      <c r="AD37">
        <f>HYPERLINK("https://klasma.github.io/Logging_1267/tillsynsmail/A 54753-2022 tillsynsbegäran mail.docx", "A 54753-2022")</f>
        <v/>
      </c>
    </row>
    <row r="38" ht="15" customHeight="1">
      <c r="A38" t="inlineStr">
        <is>
          <t>A 3924-2024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46308</v>
      </c>
      <c r="F38" t="inlineStr">
        <is>
          <t>SKÅNE LÄN</t>
        </is>
      </c>
      <c r="G38" t="inlineStr">
        <is>
          <t>HÖÖR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Vitnoppa</t>
        </is>
      </c>
      <c r="W38">
        <f>HYPERLINK("https://klasma.github.io/Logging_1267/artfynd/A 3924-2024 artfynd.xlsx", "A 3924-2024")</f>
        <v/>
      </c>
      <c r="X38">
        <f>HYPERLINK("https://klasma.github.io/Logging_1267/kartor/A 3924-2024 karta.png", "A 3924-2024")</f>
        <v/>
      </c>
      <c r="Y38">
        <f>HYPERLINK("https://klasma.github.io/Logging_1267/kartor_geotiff/A 3924-2024 georefererad karta.tif", "A 3924-2024")</f>
        <v/>
      </c>
      <c r="AA38">
        <f>HYPERLINK("https://klasma.github.io/Logging_1267/klagomål/A 3924-2024 FSC-klagomål.docx", "A 3924-2024")</f>
        <v/>
      </c>
      <c r="AB38">
        <f>HYPERLINK("https://klasma.github.io/Logging_1267/klagomålsmail/A 3924-2024 FSC-klagomål mail.docx", "A 3924-2024")</f>
        <v/>
      </c>
      <c r="AC38">
        <f>HYPERLINK("https://klasma.github.io/Logging_1267/tillsyn/A 3924-2024 tillsynsbegäran.docx", "A 3924-2024")</f>
        <v/>
      </c>
      <c r="AD38">
        <f>HYPERLINK("https://klasma.github.io/Logging_1267/tillsynsmail/A 3924-2024 tillsynsbegäran mail.docx", "A 3924-2024")</f>
        <v/>
      </c>
    </row>
    <row r="39" ht="15" customHeight="1">
      <c r="A39" t="inlineStr">
        <is>
          <t>A 61007-2024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45645</v>
      </c>
      <c r="E39" s="1" t="n">
        <v>46308</v>
      </c>
      <c r="F39" t="inlineStr">
        <is>
          <t>SKÅNE LÄN</t>
        </is>
      </c>
      <c r="G39" t="inlineStr">
        <is>
          <t>HÖÖR</t>
        </is>
      </c>
      <c r="H39" t="inlineStr">
        <is>
          <t>Kommuner</t>
        </is>
      </c>
      <c r="I39" t="n">
        <v>0.5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Kungsfiskare</t>
        </is>
      </c>
      <c r="W39">
        <f>HYPERLINK("https://klasma.github.io/Logging_1267/artfynd/A 61007-2024 artfynd.xlsx", "A 61007-2024")</f>
        <v/>
      </c>
      <c r="X39">
        <f>HYPERLINK("https://klasma.github.io/Logging_1267/kartor/A 61007-2024 karta.png", "A 61007-2024")</f>
        <v/>
      </c>
      <c r="Y39">
        <f>HYPERLINK("https://klasma.github.io/Logging_1267/kartor_geotiff/A 61007-2024 georefererad karta.tif", "A 61007-2024")</f>
        <v/>
      </c>
      <c r="AA39">
        <f>HYPERLINK("https://klasma.github.io/Logging_1267/klagomål/A 61007-2024 FSC-klagomål.docx", "A 61007-2024")</f>
        <v/>
      </c>
      <c r="AB39">
        <f>HYPERLINK("https://klasma.github.io/Logging_1267/klagomålsmail/A 61007-2024 FSC-klagomål mail.docx", "A 61007-2024")</f>
        <v/>
      </c>
      <c r="AC39">
        <f>HYPERLINK("https://klasma.github.io/Logging_1267/tillsyn/A 61007-2024 tillsynsbegäran.docx", "A 61007-2024")</f>
        <v/>
      </c>
      <c r="AD39">
        <f>HYPERLINK("https://klasma.github.io/Logging_1267/tillsynsmail/A 61007-2024 tillsynsbegäran mail.docx", "A 61007-2024")</f>
        <v/>
      </c>
    </row>
    <row r="40" ht="15" customHeight="1">
      <c r="A40" t="inlineStr">
        <is>
          <t>A 27902-2023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46308</v>
      </c>
      <c r="F40" t="inlineStr">
        <is>
          <t>SKÅNE LÄN</t>
        </is>
      </c>
      <c r="G40" t="inlineStr">
        <is>
          <t>HÖÖR</t>
        </is>
      </c>
      <c r="I40" t="n">
        <v>10.3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HYPERLINK("https://klasma.github.io/Logging_1267/artfynd/A 27902-2023 artfynd.xlsx", "A 27902-2023")</f>
        <v/>
      </c>
      <c r="X40">
        <f>HYPERLINK("https://klasma.github.io/Logging_1267/kartor/A 27902-2023 karta.png", "A 27902-2023")</f>
        <v/>
      </c>
      <c r="Y40">
        <f>HYPERLINK("https://klasma.github.io/Logging_1267/kartor_geotiff/A 27902-2023 georefererad karta.tif", "A 27902-2023")</f>
        <v/>
      </c>
      <c r="AA40">
        <f>HYPERLINK("https://klasma.github.io/Logging_1267/klagomål/A 27902-2023 FSC-klagomål.docx", "A 27902-2023")</f>
        <v/>
      </c>
      <c r="AB40">
        <f>HYPERLINK("https://klasma.github.io/Logging_1267/klagomålsmail/A 27902-2023 FSC-klagomål mail.docx", "A 27902-2023")</f>
        <v/>
      </c>
      <c r="AC40">
        <f>HYPERLINK("https://klasma.github.io/Logging_1267/tillsyn/A 27902-2023 tillsynsbegäran.docx", "A 27902-2023")</f>
        <v/>
      </c>
      <c r="AD40">
        <f>HYPERLINK("https://klasma.github.io/Logging_1267/tillsynsmail/A 27902-2023 tillsynsbegäran mail.docx", "A 27902-2023")</f>
        <v/>
      </c>
    </row>
    <row r="41" ht="15" customHeight="1">
      <c r="A41" t="inlineStr">
        <is>
          <t>A 18348-2022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44685</v>
      </c>
      <c r="E41" s="1" t="n">
        <v>46308</v>
      </c>
      <c r="F41" t="inlineStr">
        <is>
          <t>SKÅNE LÄN</t>
        </is>
      </c>
      <c r="G41" t="inlineStr">
        <is>
          <t>HÖÖR</t>
        </is>
      </c>
      <c r="H41" t="inlineStr">
        <is>
          <t>Sveaskog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Klotullört</t>
        </is>
      </c>
      <c r="W41">
        <f>HYPERLINK("https://klasma.github.io/Logging_1267/artfynd/A 18348-2022 artfynd.xlsx", "A 18348-2022")</f>
        <v/>
      </c>
      <c r="X41">
        <f>HYPERLINK("https://klasma.github.io/Logging_1267/kartor/A 18348-2022 karta.png", "A 18348-2022")</f>
        <v/>
      </c>
      <c r="Y41">
        <f>HYPERLINK("https://klasma.github.io/Logging_1267/kartor_geotiff/A 18348-2022 georefererad karta.tif", "A 18348-2022")</f>
        <v/>
      </c>
      <c r="AA41">
        <f>HYPERLINK("https://klasma.github.io/Logging_1267/klagomål/A 18348-2022 FSC-klagomål.docx", "A 18348-2022")</f>
        <v/>
      </c>
      <c r="AB41">
        <f>HYPERLINK("https://klasma.github.io/Logging_1267/klagomålsmail/A 18348-2022 FSC-klagomål mail.docx", "A 18348-2022")</f>
        <v/>
      </c>
      <c r="AC41">
        <f>HYPERLINK("https://klasma.github.io/Logging_1267/tillsyn/A 18348-2022 tillsynsbegäran.docx", "A 18348-2022")</f>
        <v/>
      </c>
      <c r="AD41">
        <f>HYPERLINK("https://klasma.github.io/Logging_1267/tillsynsmail/A 18348-2022 tillsynsbegäran mail.docx", "A 18348-2022")</f>
        <v/>
      </c>
    </row>
    <row r="42" ht="15" customHeight="1">
      <c r="A42" t="inlineStr">
        <is>
          <t>A 13429-2023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45005</v>
      </c>
      <c r="E42" s="1" t="n">
        <v>46308</v>
      </c>
      <c r="F42" t="inlineStr">
        <is>
          <t>SKÅNE LÄN</t>
        </is>
      </c>
      <c r="G42" t="inlineStr">
        <is>
          <t>HÖÖR</t>
        </is>
      </c>
      <c r="I42" t="n">
        <v>0.3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Skogsbräsma</t>
        </is>
      </c>
      <c r="W42">
        <f>HYPERLINK("https://klasma.github.io/Logging_1267/artfynd/A 13429-2023 artfynd.xlsx", "A 13429-2023")</f>
        <v/>
      </c>
      <c r="X42">
        <f>HYPERLINK("https://klasma.github.io/Logging_1267/kartor/A 13429-2023 karta.png", "A 13429-2023")</f>
        <v/>
      </c>
      <c r="Y42">
        <f>HYPERLINK("https://klasma.github.io/Logging_1267/kartor_geotiff/A 13429-2023 georefererad karta.tif", "A 13429-2023")</f>
        <v/>
      </c>
      <c r="AA42">
        <f>HYPERLINK("https://klasma.github.io/Logging_1267/klagomål/A 13429-2023 FSC-klagomål.docx", "A 13429-2023")</f>
        <v/>
      </c>
      <c r="AB42">
        <f>HYPERLINK("https://klasma.github.io/Logging_1267/klagomålsmail/A 13429-2023 FSC-klagomål mail.docx", "A 13429-2023")</f>
        <v/>
      </c>
      <c r="AC42">
        <f>HYPERLINK("https://klasma.github.io/Logging_1267/tillsyn/A 13429-2023 tillsynsbegäran.docx", "A 13429-2023")</f>
        <v/>
      </c>
      <c r="AD42">
        <f>HYPERLINK("https://klasma.github.io/Logging_1267/tillsynsmail/A 13429-2023 tillsynsbegäran mail.docx", "A 13429-2023")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46308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46308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46308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46308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46308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46308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46308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46308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46308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46308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45051</v>
      </c>
      <c r="E55" s="1" t="n">
        <v>46308</v>
      </c>
      <c r="F55" t="inlineStr">
        <is>
          <t>SKÅNE LÄN</t>
        </is>
      </c>
      <c r="G55" t="inlineStr">
        <is>
          <t>HÖÖR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45894</v>
      </c>
      <c r="E56" s="1" t="n">
        <v>46308</v>
      </c>
      <c r="F56" t="inlineStr">
        <is>
          <t>SKÅNE LÄN</t>
        </is>
      </c>
      <c r="G56" t="inlineStr">
        <is>
          <t>HÖÖR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45894</v>
      </c>
      <c r="E57" s="1" t="n">
        <v>46308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46308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46308</v>
      </c>
      <c r="F59" t="inlineStr">
        <is>
          <t>SKÅNE LÄN</t>
        </is>
      </c>
      <c r="G59" t="inlineStr">
        <is>
          <t>HÖÖR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46308</v>
      </c>
      <c r="F60" t="inlineStr">
        <is>
          <t>SKÅNE LÄN</t>
        </is>
      </c>
      <c r="G60" t="inlineStr">
        <is>
          <t>HÖÖR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45261</v>
      </c>
      <c r="E61" s="1" t="n">
        <v>46308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46308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46308</v>
      </c>
      <c r="F63" t="inlineStr">
        <is>
          <t>SKÅNE LÄN</t>
        </is>
      </c>
      <c r="G63" t="inlineStr">
        <is>
          <t>HÖÖR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10007-2022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44621</v>
      </c>
      <c r="E64" s="1" t="n">
        <v>46308</v>
      </c>
      <c r="F64" t="inlineStr">
        <is>
          <t>SKÅNE LÄN</t>
        </is>
      </c>
      <c r="G64" t="inlineStr">
        <is>
          <t>HÖÖR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46308</v>
      </c>
      <c r="F65" t="inlineStr">
        <is>
          <t>SKÅNE LÄN</t>
        </is>
      </c>
      <c r="G65" t="inlineStr">
        <is>
          <t>HÖÖR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46308</v>
      </c>
      <c r="F66" t="inlineStr">
        <is>
          <t>SKÅNE LÄN</t>
        </is>
      </c>
      <c r="G66" t="inlineStr">
        <is>
          <t>HÖÖR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45041</v>
      </c>
      <c r="E67" s="1" t="n">
        <v>46308</v>
      </c>
      <c r="F67" t="inlineStr">
        <is>
          <t>SKÅNE LÄN</t>
        </is>
      </c>
      <c r="G67" t="inlineStr">
        <is>
          <t>HÖÖR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46308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44890</v>
      </c>
      <c r="E69" s="1" t="n">
        <v>46308</v>
      </c>
      <c r="F69" t="inlineStr">
        <is>
          <t>SKÅNE LÄN</t>
        </is>
      </c>
      <c r="G69" t="inlineStr">
        <is>
          <t>HÖÖR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46308</v>
      </c>
      <c r="F70" t="inlineStr">
        <is>
          <t>SKÅNE LÄN</t>
        </is>
      </c>
      <c r="G70" t="inlineStr">
        <is>
          <t>HÖÖR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45406</v>
      </c>
      <c r="E71" s="1" t="n">
        <v>46308</v>
      </c>
      <c r="F71" t="inlineStr">
        <is>
          <t>SKÅNE LÄN</t>
        </is>
      </c>
      <c r="G71" t="inlineStr">
        <is>
          <t>HÖÖR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46308</v>
      </c>
      <c r="F72" t="inlineStr">
        <is>
          <t>SKÅNE LÄN</t>
        </is>
      </c>
      <c r="G72" t="inlineStr">
        <is>
          <t>HÖÖR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46308</v>
      </c>
      <c r="F73" t="inlineStr">
        <is>
          <t>SKÅNE LÄN</t>
        </is>
      </c>
      <c r="G73" t="inlineStr">
        <is>
          <t>HÖÖR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46308</v>
      </c>
      <c r="F74" t="inlineStr">
        <is>
          <t>SKÅNE LÄN</t>
        </is>
      </c>
      <c r="G74" t="inlineStr">
        <is>
          <t>HÖÖR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46308</v>
      </c>
      <c r="F75" t="inlineStr">
        <is>
          <t>SKÅNE LÄN</t>
        </is>
      </c>
      <c r="G75" t="inlineStr">
        <is>
          <t>HÖÖR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46308</v>
      </c>
      <c r="F76" t="inlineStr">
        <is>
          <t>SKÅNE LÄN</t>
        </is>
      </c>
      <c r="G76" t="inlineStr">
        <is>
          <t>HÖÖR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45728</v>
      </c>
      <c r="E77" s="1" t="n">
        <v>46308</v>
      </c>
      <c r="F77" t="inlineStr">
        <is>
          <t>SKÅNE LÄN</t>
        </is>
      </c>
      <c r="G77" t="inlineStr">
        <is>
          <t>HÖÖR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46197</v>
      </c>
      <c r="E78" s="1" t="n">
        <v>46308</v>
      </c>
      <c r="F78" t="inlineStr">
        <is>
          <t>SKÅNE LÄN</t>
        </is>
      </c>
      <c r="G78" t="inlineStr">
        <is>
          <t>HÖÖR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46308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45236</v>
      </c>
      <c r="E80" s="1" t="n">
        <v>46308</v>
      </c>
      <c r="F80" t="inlineStr">
        <is>
          <t>SKÅNE LÄN</t>
        </is>
      </c>
      <c r="G80" t="inlineStr">
        <is>
          <t>HÖÖR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46308</v>
      </c>
      <c r="F81" t="inlineStr">
        <is>
          <t>SKÅNE LÄN</t>
        </is>
      </c>
      <c r="G81" t="inlineStr">
        <is>
          <t>HÖÖR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46308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46308</v>
      </c>
      <c r="F83" t="inlineStr">
        <is>
          <t>SKÅNE LÄN</t>
        </is>
      </c>
      <c r="G83" t="inlineStr">
        <is>
          <t>HÖÖR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46308</v>
      </c>
      <c r="F84" t="inlineStr">
        <is>
          <t>SKÅNE LÄN</t>
        </is>
      </c>
      <c r="G84" t="inlineStr">
        <is>
          <t>HÖÖR</t>
        </is>
      </c>
      <c r="H84" t="inlineStr">
        <is>
          <t>Övriga statliga verk och myndigheter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46308</v>
      </c>
      <c r="F85" t="inlineStr">
        <is>
          <t>SKÅNE LÄN</t>
        </is>
      </c>
      <c r="G85" t="inlineStr">
        <is>
          <t>HÖÖR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46308</v>
      </c>
      <c r="F86" t="inlineStr">
        <is>
          <t>SKÅNE LÄN</t>
        </is>
      </c>
      <c r="G86" t="inlineStr">
        <is>
          <t>HÖÖR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46308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46308</v>
      </c>
      <c r="F88" t="inlineStr">
        <is>
          <t>SKÅNE LÄN</t>
        </is>
      </c>
      <c r="G88" t="inlineStr">
        <is>
          <t>HÖÖR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46308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30339-2026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46209</v>
      </c>
      <c r="E90" s="1" t="n">
        <v>46308</v>
      </c>
      <c r="F90" t="inlineStr">
        <is>
          <t>SKÅNE LÄN</t>
        </is>
      </c>
      <c r="G90" t="inlineStr">
        <is>
          <t>HÖÖR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46308</v>
      </c>
      <c r="F91" t="inlineStr">
        <is>
          <t>SKÅNE LÄN</t>
        </is>
      </c>
      <c r="G91" t="inlineStr">
        <is>
          <t>HÖÖR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45715</v>
      </c>
      <c r="E92" s="1" t="n">
        <v>46308</v>
      </c>
      <c r="F92" t="inlineStr">
        <is>
          <t>SKÅNE LÄN</t>
        </is>
      </c>
      <c r="G92" t="inlineStr">
        <is>
          <t>HÖÖR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46308</v>
      </c>
      <c r="F93" t="inlineStr">
        <is>
          <t>SKÅNE LÄN</t>
        </is>
      </c>
      <c r="G93" t="inlineStr">
        <is>
          <t>HÖÖR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45791</v>
      </c>
      <c r="E94" s="1" t="n">
        <v>46308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61019-2024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45645</v>
      </c>
      <c r="E95" s="1" t="n">
        <v>46308</v>
      </c>
      <c r="F95" t="inlineStr">
        <is>
          <t>SKÅNE LÄN</t>
        </is>
      </c>
      <c r="G95" t="inlineStr">
        <is>
          <t>HÖÖR</t>
        </is>
      </c>
      <c r="H95" t="inlineStr">
        <is>
          <t>Kommuner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46308</v>
      </c>
      <c r="F96" t="inlineStr">
        <is>
          <t>SKÅNE LÄN</t>
        </is>
      </c>
      <c r="G96" t="inlineStr">
        <is>
          <t>HÖÖR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45982</v>
      </c>
      <c r="E97" s="1" t="n">
        <v>46308</v>
      </c>
      <c r="F97" t="inlineStr">
        <is>
          <t>SKÅNE LÄN</t>
        </is>
      </c>
      <c r="G97" t="inlineStr">
        <is>
          <t>HÖÖR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46308</v>
      </c>
      <c r="F98" t="inlineStr">
        <is>
          <t>SKÅNE LÄN</t>
        </is>
      </c>
      <c r="G98" t="inlineStr">
        <is>
          <t>HÖÖR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46308</v>
      </c>
      <c r="F99" t="inlineStr">
        <is>
          <t>SKÅNE LÄN</t>
        </is>
      </c>
      <c r="G99" t="inlineStr">
        <is>
          <t>HÖÖR</t>
        </is>
      </c>
      <c r="I99" t="n">
        <v>28.4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46308</v>
      </c>
      <c r="F100" t="inlineStr">
        <is>
          <t>SKÅNE LÄN</t>
        </is>
      </c>
      <c r="G100" t="inlineStr">
        <is>
          <t>HÖÖR</t>
        </is>
      </c>
      <c r="I100" t="n">
        <v>12.3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46251</v>
      </c>
      <c r="E101" s="1" t="n">
        <v>46308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60425-2022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44911</v>
      </c>
      <c r="E102" s="1" t="n">
        <v>46308</v>
      </c>
      <c r="F102" t="inlineStr">
        <is>
          <t>SKÅNE LÄN</t>
        </is>
      </c>
      <c r="G102" t="inlineStr">
        <is>
          <t>HÖÖR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36392-2026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46268</v>
      </c>
      <c r="E103" s="1" t="n">
        <v>46308</v>
      </c>
      <c r="F103" t="inlineStr">
        <is>
          <t>SKÅNE LÄN</t>
        </is>
      </c>
      <c r="G103" t="inlineStr">
        <is>
          <t>HÖÖR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44915</v>
      </c>
      <c r="E104" s="1" t="n">
        <v>46308</v>
      </c>
      <c r="F104" t="inlineStr">
        <is>
          <t>SKÅNE LÄN</t>
        </is>
      </c>
      <c r="G104" t="inlineStr">
        <is>
          <t>HÖÖR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31092-2023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45113</v>
      </c>
      <c r="E105" s="1" t="n">
        <v>46308</v>
      </c>
      <c r="F105" t="inlineStr">
        <is>
          <t>SKÅNE LÄN</t>
        </is>
      </c>
      <c r="G105" t="inlineStr">
        <is>
          <t>HÖÖR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46308</v>
      </c>
      <c r="F106" t="inlineStr">
        <is>
          <t>SKÅNE LÄN</t>
        </is>
      </c>
      <c r="G106" t="inlineStr">
        <is>
          <t>HÖÖR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46308</v>
      </c>
      <c r="F107" t="inlineStr">
        <is>
          <t>SKÅNE LÄN</t>
        </is>
      </c>
      <c r="G107" t="inlineStr">
        <is>
          <t>HÖÖR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46273</v>
      </c>
      <c r="E108" s="1" t="n">
        <v>46308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46308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27723-2026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46191</v>
      </c>
      <c r="E110" s="1" t="n">
        <v>46308</v>
      </c>
      <c r="F110" t="inlineStr">
        <is>
          <t>SKÅNE LÄN</t>
        </is>
      </c>
      <c r="G110" t="inlineStr">
        <is>
          <t>HÖÖR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46308</v>
      </c>
      <c r="F111" t="inlineStr">
        <is>
          <t>SKÅNE LÄN</t>
        </is>
      </c>
      <c r="G111" t="inlineStr">
        <is>
          <t>HÖÖR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46308</v>
      </c>
      <c r="F112" t="inlineStr">
        <is>
          <t>SKÅNE LÄN</t>
        </is>
      </c>
      <c r="G112" t="inlineStr">
        <is>
          <t>HÖÖR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45945</v>
      </c>
      <c r="E113" s="1" t="n">
        <v>46308</v>
      </c>
      <c r="F113" t="inlineStr">
        <is>
          <t>SKÅNE LÄN</t>
        </is>
      </c>
      <c r="G113" t="inlineStr">
        <is>
          <t>HÖÖR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56941-2025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45978</v>
      </c>
      <c r="E114" s="1" t="n">
        <v>46308</v>
      </c>
      <c r="F114" t="inlineStr">
        <is>
          <t>SKÅNE LÄN</t>
        </is>
      </c>
      <c r="G114" t="inlineStr">
        <is>
          <t>HÖÖR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46023</v>
      </c>
      <c r="E115" s="1" t="n">
        <v>46308</v>
      </c>
      <c r="F115" t="inlineStr">
        <is>
          <t>SKÅNE LÄN</t>
        </is>
      </c>
      <c r="G115" t="inlineStr">
        <is>
          <t>HÖÖR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46023</v>
      </c>
      <c r="E116" s="1" t="n">
        <v>46308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46308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25559-2026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46308</v>
      </c>
      <c r="F118" t="inlineStr">
        <is>
          <t>SKÅNE LÄN</t>
        </is>
      </c>
      <c r="G118" t="inlineStr">
        <is>
          <t>HÖÖR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46280</v>
      </c>
      <c r="E119" s="1" t="n">
        <v>46308</v>
      </c>
      <c r="F119" t="inlineStr">
        <is>
          <t>SKÅNE LÄN</t>
        </is>
      </c>
      <c r="G119" t="inlineStr">
        <is>
          <t>HÖÖR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46308</v>
      </c>
      <c r="F120" t="inlineStr">
        <is>
          <t>SKÅNE LÄN</t>
        </is>
      </c>
      <c r="G120" t="inlineStr">
        <is>
          <t>HÖÖR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46308</v>
      </c>
      <c r="F121" t="inlineStr">
        <is>
          <t>SKÅNE LÄN</t>
        </is>
      </c>
      <c r="G121" t="inlineStr">
        <is>
          <t>HÖÖR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46041</v>
      </c>
      <c r="E122" s="1" t="n">
        <v>46308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46196</v>
      </c>
      <c r="E123" s="1" t="n">
        <v>46308</v>
      </c>
      <c r="F123" t="inlineStr">
        <is>
          <t>SKÅNE LÄN</t>
        </is>
      </c>
      <c r="G123" t="inlineStr">
        <is>
          <t>HÖÖR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46308</v>
      </c>
      <c r="F124" t="inlineStr">
        <is>
          <t>SKÅNE LÄN</t>
        </is>
      </c>
      <c r="G124" t="inlineStr">
        <is>
          <t>HÖÖR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46308</v>
      </c>
      <c r="F125" t="inlineStr">
        <is>
          <t>SKÅNE LÄN</t>
        </is>
      </c>
      <c r="G125" t="inlineStr">
        <is>
          <t>HÖÖR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46308</v>
      </c>
      <c r="F126" t="inlineStr">
        <is>
          <t>SKÅNE LÄN</t>
        </is>
      </c>
      <c r="G126" t="inlineStr">
        <is>
          <t>HÖÖR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45807</v>
      </c>
      <c r="E127" s="1" t="n">
        <v>46308</v>
      </c>
      <c r="F127" t="inlineStr">
        <is>
          <t>SKÅNE LÄN</t>
        </is>
      </c>
      <c r="G127" t="inlineStr">
        <is>
          <t>HÖÖR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45807</v>
      </c>
      <c r="E128" s="1" t="n">
        <v>46308</v>
      </c>
      <c r="F128" t="inlineStr">
        <is>
          <t>SKÅNE LÄN</t>
        </is>
      </c>
      <c r="G128" t="inlineStr">
        <is>
          <t>HÖÖR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46184</v>
      </c>
      <c r="E129" s="1" t="n">
        <v>46308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46308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46308</v>
      </c>
      <c r="F131" t="inlineStr">
        <is>
          <t>SKÅNE LÄN</t>
        </is>
      </c>
      <c r="G131" t="inlineStr">
        <is>
          <t>HÖÖR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8290-2026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46064</v>
      </c>
      <c r="E132" s="1" t="n">
        <v>46308</v>
      </c>
      <c r="F132" t="inlineStr">
        <is>
          <t>SKÅNE LÄN</t>
        </is>
      </c>
      <c r="G132" t="inlineStr">
        <is>
          <t>HÖÖR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44848</v>
      </c>
      <c r="E133" s="1" t="n">
        <v>46308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46308</v>
      </c>
      <c r="F134" t="inlineStr">
        <is>
          <t>SKÅNE LÄN</t>
        </is>
      </c>
      <c r="G134" t="inlineStr">
        <is>
          <t>HÖÖR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46308</v>
      </c>
      <c r="F135" t="inlineStr">
        <is>
          <t>SKÅNE LÄN</t>
        </is>
      </c>
      <c r="G135" t="inlineStr">
        <is>
          <t>HÖÖR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45987</v>
      </c>
      <c r="E136" s="1" t="n">
        <v>46308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46255</v>
      </c>
      <c r="E137" s="1" t="n">
        <v>46308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46308</v>
      </c>
      <c r="F138" t="inlineStr">
        <is>
          <t>SKÅNE LÄN</t>
        </is>
      </c>
      <c r="G138" t="inlineStr">
        <is>
          <t>HÖÖR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45001</v>
      </c>
      <c r="E139" s="1" t="n">
        <v>46308</v>
      </c>
      <c r="F139" t="inlineStr">
        <is>
          <t>SKÅNE LÄN</t>
        </is>
      </c>
      <c r="G139" t="inlineStr">
        <is>
          <t>HÖÖR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34494-2026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46255</v>
      </c>
      <c r="E140" s="1" t="n">
        <v>46308</v>
      </c>
      <c r="F140" t="inlineStr">
        <is>
          <t>SKÅNE LÄN</t>
        </is>
      </c>
      <c r="G140" t="inlineStr">
        <is>
          <t>HÖÖR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46308</v>
      </c>
      <c r="F141" t="inlineStr">
        <is>
          <t>SKÅNE LÄN</t>
        </is>
      </c>
      <c r="G141" t="inlineStr">
        <is>
          <t>HÖÖR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11379-2024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46308</v>
      </c>
      <c r="F142" t="inlineStr">
        <is>
          <t>SKÅNE LÄN</t>
        </is>
      </c>
      <c r="G142" t="inlineStr">
        <is>
          <t>HÖÖR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46308</v>
      </c>
      <c r="F143" t="inlineStr">
        <is>
          <t>SKÅNE LÄN</t>
        </is>
      </c>
      <c r="G143" t="inlineStr">
        <is>
          <t>HÖÖR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46258</v>
      </c>
      <c r="E144" s="1" t="n">
        <v>46308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17693-2026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46121</v>
      </c>
      <c r="E145" s="1" t="n">
        <v>46308</v>
      </c>
      <c r="F145" t="inlineStr">
        <is>
          <t>SKÅNE LÄN</t>
        </is>
      </c>
      <c r="G145" t="inlineStr">
        <is>
          <t>HÖÖR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46265</v>
      </c>
      <c r="E146" s="1" t="n">
        <v>46308</v>
      </c>
      <c r="F146" t="inlineStr">
        <is>
          <t>SKÅNE LÄN</t>
        </is>
      </c>
      <c r="G146" t="inlineStr">
        <is>
          <t>HÖÖR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46308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46308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46308</v>
      </c>
      <c r="F149" t="inlineStr">
        <is>
          <t>SKÅNE LÄN</t>
        </is>
      </c>
      <c r="G149" t="inlineStr">
        <is>
          <t>HÖÖR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46308</v>
      </c>
      <c r="F150" t="inlineStr">
        <is>
          <t>SKÅNE LÄN</t>
        </is>
      </c>
      <c r="G150" t="inlineStr">
        <is>
          <t>HÖÖR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46308</v>
      </c>
      <c r="F151" t="inlineStr">
        <is>
          <t>SKÅNE LÄN</t>
        </is>
      </c>
      <c r="G151" t="inlineStr">
        <is>
          <t>HÖÖR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46308</v>
      </c>
      <c r="F152" t="inlineStr">
        <is>
          <t>SKÅNE LÄN</t>
        </is>
      </c>
      <c r="G152" t="inlineStr">
        <is>
          <t>HÖÖR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45323</v>
      </c>
      <c r="E153" s="1" t="n">
        <v>46308</v>
      </c>
      <c r="F153" t="inlineStr">
        <is>
          <t>SKÅNE LÄN</t>
        </is>
      </c>
      <c r="G153" t="inlineStr">
        <is>
          <t>HÖÖR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46308</v>
      </c>
      <c r="F154" t="inlineStr">
        <is>
          <t>SKÅNE LÄN</t>
        </is>
      </c>
      <c r="G154" t="inlineStr">
        <is>
          <t>HÖÖR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46308</v>
      </c>
      <c r="F155" t="inlineStr">
        <is>
          <t>SKÅNE LÄN</t>
        </is>
      </c>
      <c r="G155" t="inlineStr">
        <is>
          <t>HÖÖR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45005</v>
      </c>
      <c r="E156" s="1" t="n">
        <v>46308</v>
      </c>
      <c r="F156" t="inlineStr">
        <is>
          <t>SKÅNE LÄN</t>
        </is>
      </c>
      <c r="G156" t="inlineStr">
        <is>
          <t>HÖÖR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46308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46308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43877-2022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44838</v>
      </c>
      <c r="E159" s="1" t="n">
        <v>46308</v>
      </c>
      <c r="F159" t="inlineStr">
        <is>
          <t>SKÅNE LÄN</t>
        </is>
      </c>
      <c r="G159" t="inlineStr">
        <is>
          <t>HÖÖR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44838</v>
      </c>
      <c r="E160" s="1" t="n">
        <v>46308</v>
      </c>
      <c r="F160" t="inlineStr">
        <is>
          <t>SKÅNE LÄN</t>
        </is>
      </c>
      <c r="G160" t="inlineStr">
        <is>
          <t>HÖÖR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46308</v>
      </c>
      <c r="F161" t="inlineStr">
        <is>
          <t>SKÅNE LÄN</t>
        </is>
      </c>
      <c r="G161" t="inlineStr">
        <is>
          <t>HÖÖR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44741</v>
      </c>
      <c r="E162" s="1" t="n">
        <v>46308</v>
      </c>
      <c r="F162" t="inlineStr">
        <is>
          <t>SKÅNE LÄN</t>
        </is>
      </c>
      <c r="G162" t="inlineStr">
        <is>
          <t>HÖÖR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46308</v>
      </c>
      <c r="F163" t="inlineStr">
        <is>
          <t>SKÅNE LÄN</t>
        </is>
      </c>
      <c r="G163" t="inlineStr">
        <is>
          <t>HÖÖR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45672</v>
      </c>
      <c r="E164" s="1" t="n">
        <v>46308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46308</v>
      </c>
      <c r="F165" t="inlineStr">
        <is>
          <t>SKÅNE LÄN</t>
        </is>
      </c>
      <c r="G165" t="inlineStr">
        <is>
          <t>HÖÖR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46308</v>
      </c>
      <c r="F166" t="inlineStr">
        <is>
          <t>SKÅNE LÄN</t>
        </is>
      </c>
      <c r="G166" t="inlineStr">
        <is>
          <t>HÖÖR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46308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45061</v>
      </c>
      <c r="E168" s="1" t="n">
        <v>46308</v>
      </c>
      <c r="F168" t="inlineStr">
        <is>
          <t>SKÅNE LÄN</t>
        </is>
      </c>
      <c r="G168" t="inlineStr">
        <is>
          <t>HÖÖR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45477</v>
      </c>
      <c r="E169" s="1" t="n">
        <v>46308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46308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46308</v>
      </c>
      <c r="F171" t="inlineStr">
        <is>
          <t>SKÅNE LÄN</t>
        </is>
      </c>
      <c r="G171" t="inlineStr">
        <is>
          <t>HÖÖR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46308</v>
      </c>
      <c r="F172" t="inlineStr">
        <is>
          <t>SKÅNE LÄN</t>
        </is>
      </c>
      <c r="G172" t="inlineStr">
        <is>
          <t>HÖÖR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45698</v>
      </c>
      <c r="E173" s="1" t="n">
        <v>46308</v>
      </c>
      <c r="F173" t="inlineStr">
        <is>
          <t>SKÅNE LÄN</t>
        </is>
      </c>
      <c r="G173" t="inlineStr">
        <is>
          <t>HÖÖR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45318</v>
      </c>
      <c r="E174" s="1" t="n">
        <v>46308</v>
      </c>
      <c r="F174" t="inlineStr">
        <is>
          <t>SKÅNE LÄN</t>
        </is>
      </c>
      <c r="G174" t="inlineStr">
        <is>
          <t>HÖÖR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46308</v>
      </c>
      <c r="F175" t="inlineStr">
        <is>
          <t>SKÅNE LÄN</t>
        </is>
      </c>
      <c r="G175" t="inlineStr">
        <is>
          <t>HÖÖR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44981</v>
      </c>
      <c r="E176" s="1" t="n">
        <v>46308</v>
      </c>
      <c r="F176" t="inlineStr">
        <is>
          <t>SKÅNE LÄN</t>
        </is>
      </c>
      <c r="G176" t="inlineStr">
        <is>
          <t>HÖÖR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46308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45057</v>
      </c>
      <c r="E178" s="1" t="n">
        <v>46308</v>
      </c>
      <c r="F178" t="inlineStr">
        <is>
          <t>SKÅNE LÄN</t>
        </is>
      </c>
      <c r="G178" t="inlineStr">
        <is>
          <t>HÖÖR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46308</v>
      </c>
      <c r="F179" t="inlineStr">
        <is>
          <t>SKÅNE LÄN</t>
        </is>
      </c>
      <c r="G179" t="inlineStr">
        <is>
          <t>HÖÖR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46308</v>
      </c>
      <c r="F180" t="inlineStr">
        <is>
          <t>SKÅNE LÄN</t>
        </is>
      </c>
      <c r="G180" t="inlineStr">
        <is>
          <t>HÖÖR</t>
        </is>
      </c>
      <c r="I180" t="n">
        <v>12.3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46308</v>
      </c>
      <c r="F181" t="inlineStr">
        <is>
          <t>SKÅNE LÄN</t>
        </is>
      </c>
      <c r="G181" t="inlineStr">
        <is>
          <t>HÖÖR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45618</v>
      </c>
      <c r="E182" s="1" t="n">
        <v>46308</v>
      </c>
      <c r="F182" t="inlineStr">
        <is>
          <t>SKÅNE LÄN</t>
        </is>
      </c>
      <c r="G182" t="inlineStr">
        <is>
          <t>HÖÖR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46308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46308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46308</v>
      </c>
      <c r="F185" t="inlineStr">
        <is>
          <t>SKÅNE LÄN</t>
        </is>
      </c>
      <c r="G185" t="inlineStr">
        <is>
          <t>HÖÖR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46308</v>
      </c>
      <c r="F186" t="inlineStr">
        <is>
          <t>SKÅNE LÄN</t>
        </is>
      </c>
      <c r="G186" t="inlineStr">
        <is>
          <t>HÖÖR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46308</v>
      </c>
      <c r="F187" t="inlineStr">
        <is>
          <t>SKÅNE LÄN</t>
        </is>
      </c>
      <c r="G187" t="inlineStr">
        <is>
          <t>HÖÖR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45322</v>
      </c>
      <c r="E188" s="1" t="n">
        <v>46308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46308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46308</v>
      </c>
      <c r="F190" t="inlineStr">
        <is>
          <t>SKÅNE LÄN</t>
        </is>
      </c>
      <c r="G190" t="inlineStr">
        <is>
          <t>HÖÖR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46308</v>
      </c>
      <c r="F191" t="inlineStr">
        <is>
          <t>SKÅNE LÄN</t>
        </is>
      </c>
      <c r="G191" t="inlineStr">
        <is>
          <t>HÖÖR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26033-2022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44734</v>
      </c>
      <c r="E192" s="1" t="n">
        <v>46308</v>
      </c>
      <c r="F192" t="inlineStr">
        <is>
          <t>SKÅNE LÄN</t>
        </is>
      </c>
      <c r="G192" t="inlineStr">
        <is>
          <t>HÖÖR</t>
        </is>
      </c>
      <c r="H192" t="inlineStr">
        <is>
          <t>Övriga statliga verk och myndigheter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46308</v>
      </c>
      <c r="F193" t="inlineStr">
        <is>
          <t>SKÅNE LÄN</t>
        </is>
      </c>
      <c r="G193" t="inlineStr">
        <is>
          <t>HÖÖR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7306-2023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44970</v>
      </c>
      <c r="E194" s="1" t="n">
        <v>46308</v>
      </c>
      <c r="F194" t="inlineStr">
        <is>
          <t>SKÅNE LÄN</t>
        </is>
      </c>
      <c r="G194" t="inlineStr">
        <is>
          <t>HÖÖR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44685</v>
      </c>
      <c r="E195" s="1" t="n">
        <v>46308</v>
      </c>
      <c r="F195" t="inlineStr">
        <is>
          <t>SKÅNE LÄN</t>
        </is>
      </c>
      <c r="G195" t="inlineStr">
        <is>
          <t>HÖÖR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45534</v>
      </c>
      <c r="E196" s="1" t="n">
        <v>46308</v>
      </c>
      <c r="F196" t="inlineStr">
        <is>
          <t>SKÅNE LÄN</t>
        </is>
      </c>
      <c r="G196" t="inlineStr">
        <is>
          <t>HÖÖR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44838</v>
      </c>
      <c r="E197" s="1" t="n">
        <v>46308</v>
      </c>
      <c r="F197" t="inlineStr">
        <is>
          <t>SKÅNE LÄN</t>
        </is>
      </c>
      <c r="G197" t="inlineStr">
        <is>
          <t>HÖÖR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46308</v>
      </c>
      <c r="F198" t="inlineStr">
        <is>
          <t>SKÅNE LÄN</t>
        </is>
      </c>
      <c r="G198" t="inlineStr">
        <is>
          <t>HÖÖR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65200-2021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44515</v>
      </c>
      <c r="E199" s="1" t="n">
        <v>46308</v>
      </c>
      <c r="F199" t="inlineStr">
        <is>
          <t>SKÅNE LÄN</t>
        </is>
      </c>
      <c r="G199" t="inlineStr">
        <is>
          <t>HÖÖR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46308</v>
      </c>
      <c r="F200" t="inlineStr">
        <is>
          <t>SKÅNE LÄN</t>
        </is>
      </c>
      <c r="G200" t="inlineStr">
        <is>
          <t>HÖÖR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46308</v>
      </c>
      <c r="F201" t="inlineStr">
        <is>
          <t>SKÅNE LÄN</t>
        </is>
      </c>
      <c r="G201" t="inlineStr">
        <is>
          <t>HÖÖR</t>
        </is>
      </c>
      <c r="H201" t="inlineStr">
        <is>
          <t>Övriga statliga verk och myndigheter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46308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56596-2022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46308</v>
      </c>
      <c r="F203" t="inlineStr">
        <is>
          <t>SKÅNE LÄN</t>
        </is>
      </c>
      <c r="G203" t="inlineStr">
        <is>
          <t>HÖÖR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44672</v>
      </c>
      <c r="E204" s="1" t="n">
        <v>46308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46308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46308</v>
      </c>
      <c r="F206" t="inlineStr">
        <is>
          <t>SKÅNE LÄN</t>
        </is>
      </c>
      <c r="G206" t="inlineStr">
        <is>
          <t>HÖÖR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46308</v>
      </c>
      <c r="F207" t="inlineStr">
        <is>
          <t>SKÅNE LÄN</t>
        </is>
      </c>
      <c r="G207" t="inlineStr">
        <is>
          <t>HÖÖR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46308</v>
      </c>
      <c r="F208" t="inlineStr">
        <is>
          <t>SKÅNE LÄN</t>
        </is>
      </c>
      <c r="G208" t="inlineStr">
        <is>
          <t>HÖÖR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46308</v>
      </c>
      <c r="F209" t="inlineStr">
        <is>
          <t>SKÅNE LÄN</t>
        </is>
      </c>
      <c r="G209" t="inlineStr">
        <is>
          <t>HÖÖR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46308</v>
      </c>
      <c r="F210" t="inlineStr">
        <is>
          <t>SKÅNE LÄN</t>
        </is>
      </c>
      <c r="G210" t="inlineStr">
        <is>
          <t>HÖÖR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44594</v>
      </c>
      <c r="E211" s="1" t="n">
        <v>46308</v>
      </c>
      <c r="F211" t="inlineStr">
        <is>
          <t>SKÅNE LÄN</t>
        </is>
      </c>
      <c r="G211" t="inlineStr">
        <is>
          <t>HÖÖR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46308</v>
      </c>
      <c r="F212" t="inlineStr">
        <is>
          <t>SKÅNE LÄN</t>
        </is>
      </c>
      <c r="G212" t="inlineStr">
        <is>
          <t>HÖÖR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46308</v>
      </c>
      <c r="F213" t="inlineStr">
        <is>
          <t>SKÅNE LÄN</t>
        </is>
      </c>
      <c r="G213" t="inlineStr">
        <is>
          <t>HÖÖR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45755</v>
      </c>
      <c r="E214" s="1" t="n">
        <v>46308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44838</v>
      </c>
      <c r="E215" s="1" t="n">
        <v>46308</v>
      </c>
      <c r="F215" t="inlineStr">
        <is>
          <t>SKÅNE LÄN</t>
        </is>
      </c>
      <c r="G215" t="inlineStr">
        <is>
          <t>HÖÖR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43884-2022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44838</v>
      </c>
      <c r="E216" s="1" t="n">
        <v>46308</v>
      </c>
      <c r="F216" t="inlineStr">
        <is>
          <t>SKÅNE LÄN</t>
        </is>
      </c>
      <c r="G216" t="inlineStr">
        <is>
          <t>HÖÖR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45191</v>
      </c>
      <c r="E217" s="1" t="n">
        <v>46308</v>
      </c>
      <c r="F217" t="inlineStr">
        <is>
          <t>SKÅNE LÄN</t>
        </is>
      </c>
      <c r="G217" t="inlineStr">
        <is>
          <t>HÖÖR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46308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44860</v>
      </c>
      <c r="E219" s="1" t="n">
        <v>46308</v>
      </c>
      <c r="F219" t="inlineStr">
        <is>
          <t>SKÅNE LÄN</t>
        </is>
      </c>
      <c r="G219" t="inlineStr">
        <is>
          <t>HÖÖR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45113</v>
      </c>
      <c r="E220" s="1" t="n">
        <v>46308</v>
      </c>
      <c r="F220" t="inlineStr">
        <is>
          <t>SKÅNE LÄN</t>
        </is>
      </c>
      <c r="G220" t="inlineStr">
        <is>
          <t>HÖÖR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46308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46308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45450</v>
      </c>
      <c r="E223" s="1" t="n">
        <v>46308</v>
      </c>
      <c r="F223" t="inlineStr">
        <is>
          <t>SKÅNE LÄN</t>
        </is>
      </c>
      <c r="G223" t="inlineStr">
        <is>
          <t>HÖÖR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46308</v>
      </c>
      <c r="F224" t="inlineStr">
        <is>
          <t>SKÅNE LÄN</t>
        </is>
      </c>
      <c r="G224" t="inlineStr">
        <is>
          <t>HÖÖR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45526</v>
      </c>
      <c r="E225" s="1" t="n">
        <v>46308</v>
      </c>
      <c r="F225" t="inlineStr">
        <is>
          <t>SKÅNE LÄN</t>
        </is>
      </c>
      <c r="G225" t="inlineStr">
        <is>
          <t>HÖÖR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46308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46308</v>
      </c>
      <c r="F227" t="inlineStr">
        <is>
          <t>SKÅNE LÄN</t>
        </is>
      </c>
      <c r="G227" t="inlineStr">
        <is>
          <t>HÖÖR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46308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46308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46308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46308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46308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46308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46308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46308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46308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46308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46308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46308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46308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2026-10-13T01:57:39Z</dcterms:created>
  <dcterms:modified xmlns:dcterms="http://purl.org/dc/terms/" xmlns:xsi="http://www.w3.org/2001/XMLSchema-instance" xsi:type="dcterms:W3CDTF">2026-10-13T01:57:40Z</dcterms:modified>
</cp:coreProperties>
</file>