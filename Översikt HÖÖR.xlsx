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70984-2021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44538</v>
      </c>
      <c r="E4" s="1" t="n">
        <v>46319</v>
      </c>
      <c r="F4" t="inlineStr">
        <is>
          <t>SKÅNE LÄN</t>
        </is>
      </c>
      <c r="G4" t="inlineStr">
        <is>
          <t>HÖÖR</t>
        </is>
      </c>
      <c r="I4" t="n">
        <v>1.2</v>
      </c>
      <c r="J4" t="n">
        <v>9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9</v>
      </c>
      <c r="U4" t="n">
        <v>9</v>
      </c>
      <c r="V4" s="2" t="inlineStr">
        <is>
          <t>Barbastell
Brunlångöra
Fransfladdermus
Nordfladdermus
Dvärgpipistrell
Gråskimlig fladdermus
Större brunfladdermus
Trollpipistrell
Vattenfladdermus</t>
        </is>
      </c>
      <c r="W4">
        <f>HYPERLINK("https://klasma.github.io/Logging_1267/artfynd/A 70984-2021 artfynd.xlsx", "A 70984-2021")</f>
        <v/>
      </c>
      <c r="X4">
        <f>HYPERLINK("https://klasma.github.io/Logging_1267/kartor/A 70984-2021 karta.png", "A 70984-2021")</f>
        <v/>
      </c>
      <c r="Y4">
        <f>HYPERLINK("https://klasma.github.io/Logging_1267/kartor_geotiff/A 70984-2021 georefererad karta.tif", "A 70984-2021")</f>
        <v/>
      </c>
      <c r="AA4">
        <f>HYPERLINK("https://klasma.github.io/Logging_1267/klagomål/A 70984-2021 FSC-klagomål.docx", "A 70984-2021")</f>
        <v/>
      </c>
      <c r="AB4">
        <f>HYPERLINK("https://klasma.github.io/Logging_1267/klagomålsmail/A 70984-2021 FSC-klagomål mail.docx", "A 70984-2021")</f>
        <v/>
      </c>
      <c r="AC4">
        <f>HYPERLINK("https://klasma.github.io/Logging_1267/tillsyn/A 70984-2021 tillsynsbegäran.docx", "A 70984-2021")</f>
        <v/>
      </c>
      <c r="AD4">
        <f>HYPERLINK("https://klasma.github.io/Logging_1267/tillsynsmail/A 70984-2021 tillsynsbegäran mail.docx", "A 70984-2021")</f>
        <v/>
      </c>
    </row>
    <row r="5" ht="15" customHeight="1">
      <c r="A5" t="inlineStr">
        <is>
          <t>A 60427-2022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44911</v>
      </c>
      <c r="E5" s="1" t="n">
        <v>46319</v>
      </c>
      <c r="F5" t="inlineStr">
        <is>
          <t>SKÅNE LÄN</t>
        </is>
      </c>
      <c r="G5" t="inlineStr">
        <is>
          <t>HÖÖR</t>
        </is>
      </c>
      <c r="I5" t="n">
        <v>4.1</v>
      </c>
      <c r="J5" t="n">
        <v>1</v>
      </c>
      <c r="K5" t="n">
        <v>5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Bokvårtlav
Stiftklotterlav
Vårärt
Klippfrullania
Kransrams
Myskmadra
Trädporella
Västlig hakmossa
Blåsippa</t>
        </is>
      </c>
      <c r="W5">
        <f>HYPERLINK("https://klasma.github.io/Logging_1267/artfynd/A 60427-2022 artfynd.xlsx", "A 60427-2022")</f>
        <v/>
      </c>
      <c r="X5">
        <f>HYPERLINK("https://klasma.github.io/Logging_1267/kartor/A 60427-2022 karta.png", "A 60427-2022")</f>
        <v/>
      </c>
      <c r="Y5">
        <f>HYPERLINK("https://klasma.github.io/Logging_1267/kartor_geotiff/A 60427-2022 georefererad karta.tif", "A 60427-2022")</f>
        <v/>
      </c>
      <c r="AA5">
        <f>HYPERLINK("https://klasma.github.io/Logging_1267/klagomål/A 60427-2022 FSC-klagomål.docx", "A 60427-2022")</f>
        <v/>
      </c>
      <c r="AB5">
        <f>HYPERLINK("https://klasma.github.io/Logging_1267/klagomålsmail/A 60427-2022 FSC-klagomål mail.docx", "A 60427-2022")</f>
        <v/>
      </c>
      <c r="AC5">
        <f>HYPERLINK("https://klasma.github.io/Logging_1267/tillsyn/A 60427-2022 tillsynsbegäran.docx", "A 60427-2022")</f>
        <v/>
      </c>
      <c r="AD5">
        <f>HYPERLINK("https://klasma.github.io/Logging_1267/tillsynsmail/A 60427-2022 tillsynsbegäran mail.docx", "A 60427-2022")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46319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46319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46319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46319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46319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46319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46319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46319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46319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46319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46319</v>
      </c>
      <c r="F25" t="inlineStr">
        <is>
          <t>SKÅNE LÄN</t>
        </is>
      </c>
      <c r="G25" t="inlineStr">
        <is>
          <t>HÖÖR</t>
        </is>
      </c>
      <c r="I25" t="n">
        <v>8.300000000000001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2942-2024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46319</v>
      </c>
      <c r="F26" t="inlineStr">
        <is>
          <t>SKÅNE LÄN</t>
        </is>
      </c>
      <c r="G26" t="inlineStr">
        <is>
          <t>HÖÖR</t>
        </is>
      </c>
      <c r="I26" t="n">
        <v>11.2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Skogsbräsma
Revlummer</t>
        </is>
      </c>
      <c r="W26">
        <f>HYPERLINK("https://klasma.github.io/Logging_1267/artfynd/A 2942-2024 artfynd.xlsx", "A 2942-2024")</f>
        <v/>
      </c>
      <c r="X26">
        <f>HYPERLINK("https://klasma.github.io/Logging_1267/kartor/A 2942-2024 karta.png", "A 2942-2024")</f>
        <v/>
      </c>
      <c r="Y26">
        <f>HYPERLINK("https://klasma.github.io/Logging_1267/kartor_geotiff/A 2942-2024 georefererad karta.tif", "A 2942-2024")</f>
        <v/>
      </c>
      <c r="AA26">
        <f>HYPERLINK("https://klasma.github.io/Logging_1267/klagomål/A 2942-2024 FSC-klagomål.docx", "A 2942-2024")</f>
        <v/>
      </c>
      <c r="AB26">
        <f>HYPERLINK("https://klasma.github.io/Logging_1267/klagomålsmail/A 2942-2024 FSC-klagomål mail.docx", "A 2942-2024")</f>
        <v/>
      </c>
      <c r="AC26">
        <f>HYPERLINK("https://klasma.github.io/Logging_1267/tillsyn/A 2942-2024 tillsynsbegäran.docx", "A 2942-2024")</f>
        <v/>
      </c>
      <c r="AD26">
        <f>HYPERLINK("https://klasma.github.io/Logging_1267/tillsynsmail/A 2942-2024 tillsynsbegäran mail.docx", "A 2942-2024")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46319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46319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46319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46319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46319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46319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46319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46319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46319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HYPERLINK("https://klasma.github.io/Logging_1267/artfynd/A 22569-2024 artfynd.xlsx", "A 22569-2024")</f>
        <v/>
      </c>
      <c r="X35">
        <f>HYPERLINK("https://klasma.github.io/Logging_1267/kartor/A 22569-2024 karta.png", "A 22569-2024")</f>
        <v/>
      </c>
      <c r="Y35">
        <f>HYPERLINK("https://klasma.github.io/Logging_1267/kartor_geotiff/A 22569-2024 georefererad karta.tif", "A 22569-2024")</f>
        <v/>
      </c>
      <c r="AA35">
        <f>HYPERLINK("https://klasma.github.io/Logging_1267/klagomål/A 22569-2024 FSC-klagomål.docx", "A 22569-2024")</f>
        <v/>
      </c>
      <c r="AB35">
        <f>HYPERLINK("https://klasma.github.io/Logging_1267/klagomålsmail/A 22569-2024 FSC-klagomål mail.docx", "A 22569-2024")</f>
        <v/>
      </c>
      <c r="AC35">
        <f>HYPERLINK("https://klasma.github.io/Logging_1267/tillsyn/A 22569-2024 tillsynsbegäran.docx", "A 22569-2024")</f>
        <v/>
      </c>
      <c r="AD35">
        <f>HYPERLINK("https://klasma.github.io/Logging_1267/tillsynsmail/A 22569-2024 tillsynsbegäran mail.docx", "A 22569-2024")</f>
        <v/>
      </c>
      <c r="AE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46319</v>
      </c>
      <c r="F36" t="inlineStr">
        <is>
          <t>SKÅNE LÄN</t>
        </is>
      </c>
      <c r="G36" t="inlineStr">
        <is>
          <t>HÖÖR</t>
        </is>
      </c>
      <c r="I36" t="n">
        <v>10.8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HYPERLINK("https://klasma.github.io/Logging_1267/artfynd/A 48926-2024 artfynd.xlsx", "A 48926-2024")</f>
        <v/>
      </c>
      <c r="X36">
        <f>HYPERLINK("https://klasma.github.io/Logging_1267/kartor/A 48926-2024 karta.png", "A 48926-2024")</f>
        <v/>
      </c>
      <c r="Y36">
        <f>HYPERLINK("https://klasma.github.io/Logging_1267/kartor_geotiff/A 48926-2024 georefererad karta.tif", "A 48926-2024")</f>
        <v/>
      </c>
      <c r="AA36">
        <f>HYPERLINK("https://klasma.github.io/Logging_1267/klagomål/A 48926-2024 FSC-klagomål.docx", "A 48926-2024")</f>
        <v/>
      </c>
      <c r="AB36">
        <f>HYPERLINK("https://klasma.github.io/Logging_1267/klagomålsmail/A 48926-2024 FSC-klagomål mail.docx", "A 48926-2024")</f>
        <v/>
      </c>
      <c r="AC36">
        <f>HYPERLINK("https://klasma.github.io/Logging_1267/tillsyn/A 48926-2024 tillsynsbegäran.docx", "A 48926-2024")</f>
        <v/>
      </c>
      <c r="AD36">
        <f>HYPERLINK("https://klasma.github.io/Logging_1267/tillsynsmail/A 48926-2024 tillsynsbegäran mail.docx", "A 48926-2024")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46319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40493-2026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46295</v>
      </c>
      <c r="E38" s="1" t="n">
        <v>46319</v>
      </c>
      <c r="F38" t="inlineStr">
        <is>
          <t>SKÅNE LÄN</t>
        </is>
      </c>
      <c r="G38" t="inlineStr">
        <is>
          <t>HÖÖR</t>
        </is>
      </c>
      <c r="I38" t="n">
        <v>2.8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Kransrams</t>
        </is>
      </c>
      <c r="W38">
        <f>HYPERLINK("https://klasma.github.io/Logging_1267/artfynd/A 40493-2026 artfynd.xlsx", "A 40493-2026")</f>
        <v/>
      </c>
      <c r="X38">
        <f>HYPERLINK("https://klasma.github.io/Logging_1267/kartor/A 40493-2026 karta.png", "A 40493-2026")</f>
        <v/>
      </c>
      <c r="Y38">
        <f>HYPERLINK("https://klasma.github.io/Logging_1267/kartor_geotiff/A 40493-2026 georefererad karta.tif", "A 40493-2026")</f>
        <v/>
      </c>
      <c r="AA38">
        <f>HYPERLINK("https://klasma.github.io/Logging_1267/klagomål/A 40493-2026 FSC-klagomål.docx", "A 40493-2026")</f>
        <v/>
      </c>
      <c r="AB38">
        <f>HYPERLINK("https://klasma.github.io/Logging_1267/klagomålsmail/A 40493-2026 FSC-klagomål mail.docx", "A 40493-2026")</f>
        <v/>
      </c>
      <c r="AC38">
        <f>HYPERLINK("https://klasma.github.io/Logging_1267/tillsyn/A 40493-2026 tillsynsbegäran.docx", "A 40493-2026")</f>
        <v/>
      </c>
      <c r="AD38">
        <f>HYPERLINK("https://klasma.github.io/Logging_1267/tillsynsmail/A 40493-2026 tillsynsbegäran mail.docx", "A 40493-2026")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46319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61007-2024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45645</v>
      </c>
      <c r="E40" s="1" t="n">
        <v>46319</v>
      </c>
      <c r="F40" t="inlineStr">
        <is>
          <t>SKÅNE LÄN</t>
        </is>
      </c>
      <c r="G40" t="inlineStr">
        <is>
          <t>HÖÖR</t>
        </is>
      </c>
      <c r="H40" t="inlineStr">
        <is>
          <t>Kommuner</t>
        </is>
      </c>
      <c r="I40" t="n">
        <v>0.5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Kungsfiskare</t>
        </is>
      </c>
      <c r="W40">
        <f>HYPERLINK("https://klasma.github.io/Logging_1267/artfynd/A 61007-2024 artfynd.xlsx", "A 61007-2024")</f>
        <v/>
      </c>
      <c r="X40">
        <f>HYPERLINK("https://klasma.github.io/Logging_1267/kartor/A 61007-2024 karta.png", "A 61007-2024")</f>
        <v/>
      </c>
      <c r="Y40">
        <f>HYPERLINK("https://klasma.github.io/Logging_1267/kartor_geotiff/A 61007-2024 georefererad karta.tif", "A 61007-2024")</f>
        <v/>
      </c>
      <c r="AA40">
        <f>HYPERLINK("https://klasma.github.io/Logging_1267/klagomål/A 61007-2024 FSC-klagomål.docx", "A 61007-2024")</f>
        <v/>
      </c>
      <c r="AB40">
        <f>HYPERLINK("https://klasma.github.io/Logging_1267/klagomålsmail/A 61007-2024 FSC-klagomål mail.docx", "A 61007-2024")</f>
        <v/>
      </c>
      <c r="AC40">
        <f>HYPERLINK("https://klasma.github.io/Logging_1267/tillsyn/A 61007-2024 tillsynsbegäran.docx", "A 61007-2024")</f>
        <v/>
      </c>
      <c r="AD40">
        <f>HYPERLINK("https://klasma.github.io/Logging_1267/tillsynsmail/A 61007-2024 tillsynsbegäran mail.docx", "A 61007-2024")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46319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A 18348-2022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46319</v>
      </c>
      <c r="F42" t="inlineStr">
        <is>
          <t>SKÅNE LÄN</t>
        </is>
      </c>
      <c r="G42" t="inlineStr">
        <is>
          <t>HÖÖR</t>
        </is>
      </c>
      <c r="H42" t="inlineStr">
        <is>
          <t>Sveaskog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Klotullört</t>
        </is>
      </c>
      <c r="W42">
        <f>HYPERLINK("https://klasma.github.io/Logging_1267/artfynd/A 18348-2022 artfynd.xlsx", "A 18348-2022")</f>
        <v/>
      </c>
      <c r="X42">
        <f>HYPERLINK("https://klasma.github.io/Logging_1267/kartor/A 18348-2022 karta.png", "A 18348-2022")</f>
        <v/>
      </c>
      <c r="Y42">
        <f>HYPERLINK("https://klasma.github.io/Logging_1267/kartor_geotiff/A 18348-2022 georefererad karta.tif", "A 18348-2022")</f>
        <v/>
      </c>
      <c r="AA42">
        <f>HYPERLINK("https://klasma.github.io/Logging_1267/klagomål/A 18348-2022 FSC-klagomål.docx", "A 18348-2022")</f>
        <v/>
      </c>
      <c r="AB42">
        <f>HYPERLINK("https://klasma.github.io/Logging_1267/klagomålsmail/A 18348-2022 FSC-klagomål mail.docx", "A 18348-2022")</f>
        <v/>
      </c>
      <c r="AC42">
        <f>HYPERLINK("https://klasma.github.io/Logging_1267/tillsyn/A 18348-2022 tillsynsbegäran.docx", "A 18348-2022")</f>
        <v/>
      </c>
      <c r="AD42">
        <f>HYPERLINK("https://klasma.github.io/Logging_1267/tillsynsmail/A 18348-2022 tillsynsbegäran mail.docx", "A 18348-2022")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46319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46319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46319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46319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46319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46319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46319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46319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46319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46319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46319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46319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45894</v>
      </c>
      <c r="E57" s="1" t="n">
        <v>46319</v>
      </c>
      <c r="F57" t="inlineStr">
        <is>
          <t>SKÅNE LÄN</t>
        </is>
      </c>
      <c r="G57" t="inlineStr">
        <is>
          <t>HÖÖR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45894</v>
      </c>
      <c r="E58" s="1" t="n">
        <v>46319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44860</v>
      </c>
      <c r="E59" s="1" t="n">
        <v>46319</v>
      </c>
      <c r="F59" t="inlineStr">
        <is>
          <t>SKÅNE LÄN</t>
        </is>
      </c>
      <c r="G59" t="inlineStr">
        <is>
          <t>HÖÖR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46319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46319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46319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46319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46319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46319</v>
      </c>
      <c r="F65" t="inlineStr">
        <is>
          <t>SKÅNE LÄN</t>
        </is>
      </c>
      <c r="G65" t="inlineStr">
        <is>
          <t>HÖÖR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45240</v>
      </c>
      <c r="E66" s="1" t="n">
        <v>46319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45775</v>
      </c>
      <c r="E67" s="1" t="n">
        <v>46319</v>
      </c>
      <c r="F67" t="inlineStr">
        <is>
          <t>SKÅNE LÄN</t>
        </is>
      </c>
      <c r="G67" t="inlineStr">
        <is>
          <t>HÖÖR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46319</v>
      </c>
      <c r="F68" t="inlineStr">
        <is>
          <t>SKÅNE LÄN</t>
        </is>
      </c>
      <c r="G68" t="inlineStr">
        <is>
          <t>HÖÖR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46319</v>
      </c>
      <c r="F69" t="inlineStr">
        <is>
          <t>SKÅNE LÄN</t>
        </is>
      </c>
      <c r="G69" t="inlineStr">
        <is>
          <t>HÖÖR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44888</v>
      </c>
      <c r="E70" s="1" t="n">
        <v>46319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46319</v>
      </c>
      <c r="F71" t="inlineStr">
        <is>
          <t>SKÅNE LÄN</t>
        </is>
      </c>
      <c r="G71" t="inlineStr">
        <is>
          <t>HÖÖR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44734</v>
      </c>
      <c r="E72" s="1" t="n">
        <v>46319</v>
      </c>
      <c r="F72" t="inlineStr">
        <is>
          <t>SKÅNE LÄN</t>
        </is>
      </c>
      <c r="G72" t="inlineStr">
        <is>
          <t>HÖÖR</t>
        </is>
      </c>
      <c r="H72" t="inlineStr">
        <is>
          <t>Övriga statliga verk och myndigheter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46319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45526</v>
      </c>
      <c r="E74" s="1" t="n">
        <v>46319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46319</v>
      </c>
      <c r="F75" t="inlineStr">
        <is>
          <t>SKÅNE LÄN</t>
        </is>
      </c>
      <c r="G75" t="inlineStr">
        <is>
          <t>HÖÖR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46319</v>
      </c>
      <c r="F76" t="inlineStr">
        <is>
          <t>SKÅNE LÄN</t>
        </is>
      </c>
      <c r="G76" t="inlineStr">
        <is>
          <t>HÖÖR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46319</v>
      </c>
      <c r="F77" t="inlineStr">
        <is>
          <t>SKÅNE LÄN</t>
        </is>
      </c>
      <c r="G77" t="inlineStr">
        <is>
          <t>HÖÖR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46319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46319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46319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46319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46319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46319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46319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46319</v>
      </c>
      <c r="F85" t="inlineStr">
        <is>
          <t>SKÅNE LÄN</t>
        </is>
      </c>
      <c r="G85" t="inlineStr">
        <is>
          <t>HÖÖR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46319</v>
      </c>
      <c r="F86" t="inlineStr">
        <is>
          <t>SKÅNE LÄN</t>
        </is>
      </c>
      <c r="G86" t="inlineStr">
        <is>
          <t>HÖÖR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45532</v>
      </c>
      <c r="E87" s="1" t="n">
        <v>46319</v>
      </c>
      <c r="F87" t="inlineStr">
        <is>
          <t>SKÅNE LÄN</t>
        </is>
      </c>
      <c r="G87" t="inlineStr">
        <is>
          <t>HÖÖR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46319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46319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46197</v>
      </c>
      <c r="E90" s="1" t="n">
        <v>46319</v>
      </c>
      <c r="F90" t="inlineStr">
        <is>
          <t>SKÅNE LÄN</t>
        </is>
      </c>
      <c r="G90" t="inlineStr">
        <is>
          <t>HÖÖR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46319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46319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45372</v>
      </c>
      <c r="E93" s="1" t="n">
        <v>46319</v>
      </c>
      <c r="F93" t="inlineStr">
        <is>
          <t>SKÅNE LÄN</t>
        </is>
      </c>
      <c r="G93" t="inlineStr">
        <is>
          <t>HÖÖR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46319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46319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46319</v>
      </c>
      <c r="F96" t="inlineStr">
        <is>
          <t>SKÅNE LÄN</t>
        </is>
      </c>
      <c r="G96" t="inlineStr">
        <is>
          <t>HÖÖR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46319</v>
      </c>
      <c r="F97" t="inlineStr">
        <is>
          <t>SKÅNE LÄN</t>
        </is>
      </c>
      <c r="G97" t="inlineStr">
        <is>
          <t>HÖÖR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46319</v>
      </c>
      <c r="F98" t="inlineStr">
        <is>
          <t>SKÅNE LÄN</t>
        </is>
      </c>
      <c r="G98" t="inlineStr">
        <is>
          <t>HÖÖR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46319</v>
      </c>
      <c r="F99" t="inlineStr">
        <is>
          <t>SKÅNE LÄN</t>
        </is>
      </c>
      <c r="G99" t="inlineStr">
        <is>
          <t>HÖÖR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46209</v>
      </c>
      <c r="E100" s="1" t="n">
        <v>46319</v>
      </c>
      <c r="F100" t="inlineStr">
        <is>
          <t>SKÅNE LÄN</t>
        </is>
      </c>
      <c r="G100" t="inlineStr">
        <is>
          <t>HÖÖR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46319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45327</v>
      </c>
      <c r="E102" s="1" t="n">
        <v>46319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26757-2023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46319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45323</v>
      </c>
      <c r="E104" s="1" t="n">
        <v>46319</v>
      </c>
      <c r="F104" t="inlineStr">
        <is>
          <t>SKÅNE LÄN</t>
        </is>
      </c>
      <c r="G104" t="inlineStr">
        <is>
          <t>HÖÖR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46319</v>
      </c>
      <c r="F105" t="inlineStr">
        <is>
          <t>SKÅNE LÄN</t>
        </is>
      </c>
      <c r="G105" t="inlineStr">
        <is>
          <t>HÖÖR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46319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46319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46319</v>
      </c>
      <c r="F108" t="inlineStr">
        <is>
          <t>SKÅNE LÄN</t>
        </is>
      </c>
      <c r="G108" t="inlineStr">
        <is>
          <t>HÖÖR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46319</v>
      </c>
      <c r="F109" t="inlineStr">
        <is>
          <t>SKÅNE LÄN</t>
        </is>
      </c>
      <c r="G109" t="inlineStr">
        <is>
          <t>HÖÖR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46319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46191</v>
      </c>
      <c r="E111" s="1" t="n">
        <v>46319</v>
      </c>
      <c r="F111" t="inlineStr">
        <is>
          <t>SKÅNE LÄN</t>
        </is>
      </c>
      <c r="G111" t="inlineStr">
        <is>
          <t>HÖÖR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44848</v>
      </c>
      <c r="E112" s="1" t="n">
        <v>46319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46319</v>
      </c>
      <c r="F113" t="inlineStr">
        <is>
          <t>SKÅNE LÄN</t>
        </is>
      </c>
      <c r="G113" t="inlineStr">
        <is>
          <t>HÖÖR</t>
        </is>
      </c>
      <c r="H113" t="inlineStr">
        <is>
          <t>Övriga statliga verk och myndigheter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46319</v>
      </c>
      <c r="F114" t="inlineStr">
        <is>
          <t>SKÅNE LÄN</t>
        </is>
      </c>
      <c r="G114" t="inlineStr">
        <is>
          <t>HÖÖR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46319</v>
      </c>
      <c r="F115" t="inlineStr">
        <is>
          <t>SKÅNE LÄN</t>
        </is>
      </c>
      <c r="G115" t="inlineStr">
        <is>
          <t>HÖÖR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46319</v>
      </c>
      <c r="F116" t="inlineStr">
        <is>
          <t>SKÅNE LÄN</t>
        </is>
      </c>
      <c r="G116" t="inlineStr">
        <is>
          <t>HÖÖR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46319</v>
      </c>
      <c r="F117" t="inlineStr">
        <is>
          <t>SKÅNE LÄN</t>
        </is>
      </c>
      <c r="G117" t="inlineStr">
        <is>
          <t>HÖÖR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46319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56941-2025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45978</v>
      </c>
      <c r="E119" s="1" t="n">
        <v>46319</v>
      </c>
      <c r="F119" t="inlineStr">
        <is>
          <t>SKÅNE LÄN</t>
        </is>
      </c>
      <c r="G119" t="inlineStr">
        <is>
          <t>HÖÖR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46023</v>
      </c>
      <c r="E120" s="1" t="n">
        <v>46319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46023</v>
      </c>
      <c r="E121" s="1" t="n">
        <v>46319</v>
      </c>
      <c r="F121" t="inlineStr">
        <is>
          <t>SKÅNE LÄN</t>
        </is>
      </c>
      <c r="G121" t="inlineStr">
        <is>
          <t>HÖÖR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46319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46319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46319</v>
      </c>
      <c r="F124" t="inlineStr">
        <is>
          <t>SKÅNE LÄN</t>
        </is>
      </c>
      <c r="G124" t="inlineStr">
        <is>
          <t>HÖÖR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46319</v>
      </c>
      <c r="F125" t="inlineStr">
        <is>
          <t>SKÅNE LÄN</t>
        </is>
      </c>
      <c r="G125" t="inlineStr">
        <is>
          <t>HÖÖR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46319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46319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45645</v>
      </c>
      <c r="E128" s="1" t="n">
        <v>46319</v>
      </c>
      <c r="F128" t="inlineStr">
        <is>
          <t>SKÅNE LÄN</t>
        </is>
      </c>
      <c r="G128" t="inlineStr">
        <is>
          <t>HÖÖR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46319</v>
      </c>
      <c r="F129" t="inlineStr">
        <is>
          <t>SKÅNE LÄN</t>
        </is>
      </c>
      <c r="G129" t="inlineStr">
        <is>
          <t>HÖÖR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46319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46319</v>
      </c>
      <c r="F131" t="inlineStr">
        <is>
          <t>SKÅNE LÄN</t>
        </is>
      </c>
      <c r="G131" t="inlineStr">
        <is>
          <t>HÖÖR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46319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46319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46319</v>
      </c>
      <c r="F134" t="inlineStr">
        <is>
          <t>SKÅNE LÄN</t>
        </is>
      </c>
      <c r="G134" t="inlineStr">
        <is>
          <t>HÖÖR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46319</v>
      </c>
      <c r="F135" t="inlineStr">
        <is>
          <t>SKÅNE LÄN</t>
        </is>
      </c>
      <c r="G135" t="inlineStr">
        <is>
          <t>HÖÖR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46319</v>
      </c>
      <c r="F136" t="inlineStr">
        <is>
          <t>SKÅNE LÄN</t>
        </is>
      </c>
      <c r="G136" t="inlineStr">
        <is>
          <t>HÖÖR</t>
        </is>
      </c>
      <c r="I136" t="n">
        <v>28.4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60425-2022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44911</v>
      </c>
      <c r="E137" s="1" t="n">
        <v>46319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61087-2022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44915</v>
      </c>
      <c r="E138" s="1" t="n">
        <v>46319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46319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46319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46064</v>
      </c>
      <c r="E141" s="1" t="n">
        <v>46319</v>
      </c>
      <c r="F141" t="inlineStr">
        <is>
          <t>SKÅNE LÄN</t>
        </is>
      </c>
      <c r="G141" t="inlineStr">
        <is>
          <t>HÖÖR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46319</v>
      </c>
      <c r="F142" t="inlineStr">
        <is>
          <t>SKÅNE LÄN</t>
        </is>
      </c>
      <c r="G142" t="inlineStr">
        <is>
          <t>HÖÖR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46319</v>
      </c>
      <c r="F143" t="inlineStr">
        <is>
          <t>SKÅNE LÄN</t>
        </is>
      </c>
      <c r="G143" t="inlineStr">
        <is>
          <t>HÖÖR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46319</v>
      </c>
      <c r="F144" t="inlineStr">
        <is>
          <t>SKÅNE LÄN</t>
        </is>
      </c>
      <c r="G144" t="inlineStr">
        <is>
          <t>HÖÖR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46319</v>
      </c>
      <c r="F145" t="inlineStr">
        <is>
          <t>SKÅNE LÄN</t>
        </is>
      </c>
      <c r="G145" t="inlineStr">
        <is>
          <t>HÖÖR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45709</v>
      </c>
      <c r="E146" s="1" t="n">
        <v>46319</v>
      </c>
      <c r="F146" t="inlineStr">
        <is>
          <t>SKÅNE LÄN</t>
        </is>
      </c>
      <c r="G146" t="inlineStr">
        <is>
          <t>HÖÖR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46319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46319</v>
      </c>
      <c r="F148" t="inlineStr">
        <is>
          <t>SKÅNE LÄN</t>
        </is>
      </c>
      <c r="G148" t="inlineStr">
        <is>
          <t>HÖÖR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46255</v>
      </c>
      <c r="E149" s="1" t="n">
        <v>46319</v>
      </c>
      <c r="F149" t="inlineStr">
        <is>
          <t>SKÅNE LÄN</t>
        </is>
      </c>
      <c r="G149" t="inlineStr">
        <is>
          <t>HÖÖR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46319</v>
      </c>
      <c r="F150" t="inlineStr">
        <is>
          <t>SKÅNE LÄN</t>
        </is>
      </c>
      <c r="G150" t="inlineStr">
        <is>
          <t>HÖÖR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46319</v>
      </c>
      <c r="F151" t="inlineStr">
        <is>
          <t>SKÅNE LÄN</t>
        </is>
      </c>
      <c r="G151" t="inlineStr">
        <is>
          <t>HÖÖR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46258</v>
      </c>
      <c r="E152" s="1" t="n">
        <v>46319</v>
      </c>
      <c r="F152" t="inlineStr">
        <is>
          <t>SKÅNE LÄN</t>
        </is>
      </c>
      <c r="G152" t="inlineStr">
        <is>
          <t>HÖÖR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46319</v>
      </c>
      <c r="F153" t="inlineStr">
        <is>
          <t>SKÅNE LÄN</t>
        </is>
      </c>
      <c r="G153" t="inlineStr">
        <is>
          <t>HÖÖR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46319</v>
      </c>
      <c r="F154" t="inlineStr">
        <is>
          <t>SKÅNE LÄN</t>
        </is>
      </c>
      <c r="G154" t="inlineStr">
        <is>
          <t>HÖÖR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46319</v>
      </c>
      <c r="F155" t="inlineStr">
        <is>
          <t>SKÅNE LÄN</t>
        </is>
      </c>
      <c r="G155" t="inlineStr">
        <is>
          <t>HÖÖR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46319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17693-2026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46319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46319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31092-2023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45113</v>
      </c>
      <c r="E159" s="1" t="n">
        <v>46319</v>
      </c>
      <c r="F159" t="inlineStr">
        <is>
          <t>SKÅNE LÄN</t>
        </is>
      </c>
      <c r="G159" t="inlineStr">
        <is>
          <t>HÖÖR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46319</v>
      </c>
      <c r="F160" t="inlineStr">
        <is>
          <t>SKÅNE LÄN</t>
        </is>
      </c>
      <c r="G160" t="inlineStr">
        <is>
          <t>HÖÖR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46319</v>
      </c>
      <c r="F161" t="inlineStr">
        <is>
          <t>SKÅNE LÄN</t>
        </is>
      </c>
      <c r="G161" t="inlineStr">
        <is>
          <t>HÖÖR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36392-2026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46268</v>
      </c>
      <c r="E162" s="1" t="n">
        <v>46319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46319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46319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46319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46319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46319</v>
      </c>
      <c r="F167" t="inlineStr">
        <is>
          <t>SKÅNE LÄN</t>
        </is>
      </c>
      <c r="G167" t="inlineStr">
        <is>
          <t>HÖÖR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46319</v>
      </c>
      <c r="F168" t="inlineStr">
        <is>
          <t>SKÅNE LÄN</t>
        </is>
      </c>
      <c r="G168" t="inlineStr">
        <is>
          <t>HÖÖR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46265</v>
      </c>
      <c r="E169" s="1" t="n">
        <v>46319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46319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7306-2023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44970</v>
      </c>
      <c r="E171" s="1" t="n">
        <v>46319</v>
      </c>
      <c r="F171" t="inlineStr">
        <is>
          <t>SKÅNE LÄN</t>
        </is>
      </c>
      <c r="G171" t="inlineStr">
        <is>
          <t>HÖÖR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46319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46319</v>
      </c>
      <c r="F173" t="inlineStr">
        <is>
          <t>SKÅNE LÄN</t>
        </is>
      </c>
      <c r="G173" t="inlineStr">
        <is>
          <t>HÖÖR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44672</v>
      </c>
      <c r="E174" s="1" t="n">
        <v>46319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46319</v>
      </c>
      <c r="F175" t="inlineStr">
        <is>
          <t>SKÅNE LÄN</t>
        </is>
      </c>
      <c r="G175" t="inlineStr">
        <is>
          <t>HÖÖR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46319</v>
      </c>
      <c r="F176" t="inlineStr">
        <is>
          <t>SKÅNE LÄN</t>
        </is>
      </c>
      <c r="G176" t="inlineStr">
        <is>
          <t>HÖÖR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46319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46319</v>
      </c>
      <c r="F178" t="inlineStr">
        <is>
          <t>SKÅNE LÄN</t>
        </is>
      </c>
      <c r="G178" t="inlineStr">
        <is>
          <t>HÖÖR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46319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46319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46319</v>
      </c>
      <c r="F181" t="inlineStr">
        <is>
          <t>SKÅNE LÄN</t>
        </is>
      </c>
      <c r="G181" t="inlineStr">
        <is>
          <t>HÖÖR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12855-2023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45001</v>
      </c>
      <c r="E182" s="1" t="n">
        <v>46319</v>
      </c>
      <c r="F182" t="inlineStr">
        <is>
          <t>SKÅNE LÄN</t>
        </is>
      </c>
      <c r="G182" t="inlineStr">
        <is>
          <t>HÖÖR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46319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46319</v>
      </c>
      <c r="F184" t="inlineStr">
        <is>
          <t>SKÅNE LÄN</t>
        </is>
      </c>
      <c r="G184" t="inlineStr">
        <is>
          <t>HÖÖR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46319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46319</v>
      </c>
      <c r="F186" t="inlineStr">
        <is>
          <t>SKÅNE LÄN</t>
        </is>
      </c>
      <c r="G186" t="inlineStr">
        <is>
          <t>HÖÖR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65200-2021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44515</v>
      </c>
      <c r="E187" s="1" t="n">
        <v>46319</v>
      </c>
      <c r="F187" t="inlineStr">
        <is>
          <t>SKÅNE LÄN</t>
        </is>
      </c>
      <c r="G187" t="inlineStr">
        <is>
          <t>HÖÖR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46319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16110-2024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45406</v>
      </c>
      <c r="E189" s="1" t="n">
        <v>46319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46319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46319</v>
      </c>
      <c r="F191" t="inlineStr">
        <is>
          <t>SKÅNE LÄN</t>
        </is>
      </c>
      <c r="G191" t="inlineStr">
        <is>
          <t>HÖÖR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46319</v>
      </c>
      <c r="F192" t="inlineStr">
        <is>
          <t>SKÅNE LÄN</t>
        </is>
      </c>
      <c r="G192" t="inlineStr">
        <is>
          <t>HÖÖR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46319</v>
      </c>
      <c r="F193" t="inlineStr">
        <is>
          <t>SKÅNE LÄN</t>
        </is>
      </c>
      <c r="G193" t="inlineStr">
        <is>
          <t>HÖÖR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46319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46319</v>
      </c>
      <c r="F195" t="inlineStr">
        <is>
          <t>SKÅNE LÄN</t>
        </is>
      </c>
      <c r="G195" t="inlineStr">
        <is>
          <t>HÖÖR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46319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46319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46319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46319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44608</v>
      </c>
      <c r="E200" s="1" t="n">
        <v>46319</v>
      </c>
      <c r="F200" t="inlineStr">
        <is>
          <t>SKÅNE LÄN</t>
        </is>
      </c>
      <c r="G200" t="inlineStr">
        <is>
          <t>HÖÖR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46319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45318</v>
      </c>
      <c r="E202" s="1" t="n">
        <v>46319</v>
      </c>
      <c r="F202" t="inlineStr">
        <is>
          <t>SKÅNE LÄN</t>
        </is>
      </c>
      <c r="G202" t="inlineStr">
        <is>
          <t>HÖÖR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46319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44621</v>
      </c>
      <c r="E204" s="1" t="n">
        <v>46319</v>
      </c>
      <c r="F204" t="inlineStr">
        <is>
          <t>SKÅNE LÄN</t>
        </is>
      </c>
      <c r="G204" t="inlineStr">
        <is>
          <t>HÖÖR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46319</v>
      </c>
      <c r="F205" t="inlineStr">
        <is>
          <t>SKÅNE LÄN</t>
        </is>
      </c>
      <c r="G205" t="inlineStr">
        <is>
          <t>HÖÖR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46319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46319</v>
      </c>
      <c r="F207" t="inlineStr">
        <is>
          <t>SKÅNE LÄN</t>
        </is>
      </c>
      <c r="G207" t="inlineStr">
        <is>
          <t>HÖÖR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46319</v>
      </c>
      <c r="F208" t="inlineStr">
        <is>
          <t>SKÅNE LÄN</t>
        </is>
      </c>
      <c r="G208" t="inlineStr">
        <is>
          <t>HÖÖR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46319</v>
      </c>
      <c r="F209" t="inlineStr">
        <is>
          <t>SKÅNE LÄN</t>
        </is>
      </c>
      <c r="G209" t="inlineStr">
        <is>
          <t>HÖÖR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46319</v>
      </c>
      <c r="F210" t="inlineStr">
        <is>
          <t>SKÅNE LÄN</t>
        </is>
      </c>
      <c r="G210" t="inlineStr">
        <is>
          <t>HÖÖR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46319</v>
      </c>
      <c r="F211" t="inlineStr">
        <is>
          <t>SKÅNE LÄN</t>
        </is>
      </c>
      <c r="G211" t="inlineStr">
        <is>
          <t>HÖÖR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46319</v>
      </c>
      <c r="F212" t="inlineStr">
        <is>
          <t>SKÅNE LÄN</t>
        </is>
      </c>
      <c r="G212" t="inlineStr">
        <is>
          <t>HÖÖR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46319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46319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46319</v>
      </c>
      <c r="F215" t="inlineStr">
        <is>
          <t>SKÅNE LÄN</t>
        </is>
      </c>
      <c r="G215" t="inlineStr">
        <is>
          <t>HÖÖR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46319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44685</v>
      </c>
      <c r="E217" s="1" t="n">
        <v>46319</v>
      </c>
      <c r="F217" t="inlineStr">
        <is>
          <t>SKÅNE LÄN</t>
        </is>
      </c>
      <c r="G217" t="inlineStr">
        <is>
          <t>HÖÖR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46319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46319</v>
      </c>
      <c r="F219" t="inlineStr">
        <is>
          <t>SKÅNE LÄN</t>
        </is>
      </c>
      <c r="G219" t="inlineStr">
        <is>
          <t>HÖÖR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46319</v>
      </c>
      <c r="F220" t="inlineStr">
        <is>
          <t>SKÅNE LÄN</t>
        </is>
      </c>
      <c r="G220" t="inlineStr">
        <is>
          <t>HÖÖR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46319</v>
      </c>
      <c r="F221" t="inlineStr">
        <is>
          <t>SKÅNE LÄN</t>
        </is>
      </c>
      <c r="G221" t="inlineStr">
        <is>
          <t>HÖÖR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46319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46319</v>
      </c>
      <c r="F223" t="inlineStr">
        <is>
          <t>SKÅNE LÄN</t>
        </is>
      </c>
      <c r="G223" t="inlineStr">
        <is>
          <t>HÖÖR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46319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46319</v>
      </c>
      <c r="F225" t="inlineStr">
        <is>
          <t>SKÅNE LÄN</t>
        </is>
      </c>
      <c r="G225" t="inlineStr">
        <is>
          <t>HÖÖR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46319</v>
      </c>
      <c r="F226" t="inlineStr">
        <is>
          <t>SKÅNE LÄN</t>
        </is>
      </c>
      <c r="G226" t="inlineStr">
        <is>
          <t>HÖÖR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46319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46319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46319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46319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46319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46319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46319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46319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46319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46319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46319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46319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46319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46319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2026-10-24T02:04:30Z</dcterms:created>
  <dcterms:modified xmlns:dcterms="http://purl.org/dc/terms/" xmlns:xsi="http://www.w3.org/2001/XMLSchema-instance" xsi:type="dcterms:W3CDTF">2026-10-24T02:04:30Z</dcterms:modified>
</cp:coreProperties>
</file>