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4218-2023</t>
        </is>
      </c>
      <c r="B2" t="inlineStr">
        <is>
          <t>samrådsanmälan</t>
        </is>
      </c>
      <c r="C2" t="inlineStr">
        <is>
          <t>Askåterföring</t>
        </is>
      </c>
      <c r="D2" s="1" t="n">
        <v>45251</v>
      </c>
      <c r="E2" s="1" t="n">
        <v>46316</v>
      </c>
      <c r="F2" t="inlineStr">
        <is>
          <t>SKÅNE LÄN</t>
        </is>
      </c>
      <c r="G2" t="inlineStr">
        <is>
          <t>HÖÖR</t>
        </is>
      </c>
      <c r="I2" t="n">
        <v>34.1</v>
      </c>
      <c r="J2" t="n">
        <v>11</v>
      </c>
      <c r="K2" t="n">
        <v>0</v>
      </c>
      <c r="L2" t="n">
        <v>8</v>
      </c>
      <c r="M2" t="n">
        <v>1</v>
      </c>
      <c r="N2" t="n">
        <v>0</v>
      </c>
      <c r="O2" t="n">
        <v>0</v>
      </c>
      <c r="P2" t="n">
        <v>0</v>
      </c>
      <c r="Q2" t="n">
        <v>9</v>
      </c>
      <c r="R2" t="n">
        <v>1</v>
      </c>
      <c r="S2" t="n">
        <v>16</v>
      </c>
      <c r="T2" t="n">
        <v>19</v>
      </c>
      <c r="U2" t="n">
        <v>11</v>
      </c>
      <c r="V2" s="2" t="inlineStr">
        <is>
          <t>Stare
Björktrast
Engelskt björnbär
Gulsparv
Mindre hackspett
Mörk dunört
Rödlånke
Sydlig sotticka
Älg
Spillkråka
Gröngöling
Grönsiska
Kungsfågel
Svartvit flugsnappare
Trana
Grönvit nattviol</t>
        </is>
      </c>
      <c r="W2">
        <f>HYPERLINK("https://klasma.github.io/Logging_1267/artfynd/S 4218-2023 artfynd.xlsx", "S 4218-2023")</f>
        <v/>
      </c>
      <c r="X2">
        <f>HYPERLINK("https://klasma.github.io/Logging_1267/kartor/S 4218-2023 karta.png", "S 4218-2023")</f>
        <v/>
      </c>
      <c r="Y2">
        <f>HYPERLINK("https://klasma.github.io/Logging_1267/kartor_geotiff/S 4218-2023 georefererad karta.tif", "S 4218-2023")</f>
        <v/>
      </c>
      <c r="AA2">
        <f>HYPERLINK("https://klasma.github.io/Logging_1267/klagomål/S 4218-2023 FSC-klagomål.docx", "S 4218-2023")</f>
        <v/>
      </c>
      <c r="AB2">
        <f>HYPERLINK("https://klasma.github.io/Logging_1267/klagomålsmail/S 4218-2023 FSC-klagomål mail.docx", "S 4218-2023")</f>
        <v/>
      </c>
      <c r="AC2">
        <f>HYPERLINK("https://klasma.github.io/Logging_1267/tillsyn/S 4218-2023 tillsynsbegäran.docx", "S 4218-2023")</f>
        <v/>
      </c>
      <c r="AD2">
        <f>HYPERLINK("https://klasma.github.io/Logging_1267/tillsynsmail/S 4218-2023 tillsynsbegäran mail.docx", "S 4218-2023")</f>
        <v/>
      </c>
      <c r="AE2">
        <f>HYPERLINK("https://klasma.github.io/Logging_1267/fåglar/S 4218-2023 prioriterade fågelarter.docx", "S 4218-2023")</f>
        <v/>
      </c>
    </row>
    <row r="3" ht="15" customHeight="1">
      <c r="A3" t="inlineStr">
        <is>
          <t>S 8845-2021</t>
        </is>
      </c>
      <c r="B3" t="inlineStr">
        <is>
          <t>samrådsanmälan</t>
        </is>
      </c>
      <c r="C3" t="inlineStr">
        <is>
          <t>Askåterföring</t>
        </is>
      </c>
      <c r="D3" s="1" t="n">
        <v>44503</v>
      </c>
      <c r="E3" s="1" t="n">
        <v>46316</v>
      </c>
      <c r="F3" t="inlineStr">
        <is>
          <t>SKÅNE LÄN</t>
        </is>
      </c>
      <c r="G3" t="inlineStr">
        <is>
          <t>HÖÖR</t>
        </is>
      </c>
      <c r="I3" t="n">
        <v>53.3</v>
      </c>
      <c r="J3" t="n">
        <v>2</v>
      </c>
      <c r="K3" t="n">
        <v>3</v>
      </c>
      <c r="L3" t="n">
        <v>5</v>
      </c>
      <c r="M3" t="n">
        <v>1</v>
      </c>
      <c r="N3" t="n">
        <v>1</v>
      </c>
      <c r="O3" t="n">
        <v>0</v>
      </c>
      <c r="P3" t="n">
        <v>0</v>
      </c>
      <c r="Q3" t="n">
        <v>7</v>
      </c>
      <c r="R3" t="n">
        <v>2</v>
      </c>
      <c r="S3" t="n">
        <v>11</v>
      </c>
      <c r="T3" t="n">
        <v>14</v>
      </c>
      <c r="U3" t="n">
        <v>14</v>
      </c>
      <c r="V3" s="2" t="inlineStr">
        <is>
          <t>Ask
Småvänderot
Engelskt björnbär
Grönsångare
Gullpudra
Småjungfrukam
Svinrot
Dvärghäxört
Kambräken
Skogsbräsma
Skogsduva</t>
        </is>
      </c>
      <c r="W3">
        <f>HYPERLINK("https://klasma.github.io/Logging_1267/artfynd/S 8845-2021 artfynd.xlsx", "S 8845-2021")</f>
        <v/>
      </c>
      <c r="X3">
        <f>HYPERLINK("https://klasma.github.io/Logging_1267/kartor/S 8845-2021 karta.png", "S 8845-2021")</f>
        <v/>
      </c>
      <c r="Y3">
        <f>HYPERLINK("https://klasma.github.io/Logging_1267/kartor_geotiff/S 8845-2021 georefererad karta.tif", "S 8845-2021")</f>
        <v/>
      </c>
      <c r="AA3">
        <f>HYPERLINK("https://klasma.github.io/Logging_1267/klagomål/S 8845-2021 FSC-klagomål.docx", "S 8845-2021")</f>
        <v/>
      </c>
      <c r="AB3">
        <f>HYPERLINK("https://klasma.github.io/Logging_1267/klagomålsmail/S 8845-2021 FSC-klagomål mail.docx", "S 8845-2021")</f>
        <v/>
      </c>
      <c r="AC3">
        <f>HYPERLINK("https://klasma.github.io/Logging_1267/tillsyn/S 8845-2021 tillsynsbegäran.docx", "S 8845-2021")</f>
        <v/>
      </c>
      <c r="AD3">
        <f>HYPERLINK("https://klasma.github.io/Logging_1267/tillsynsmail/S 8845-2021 tillsynsbegäran mail.docx", "S 8845-2021")</f>
        <v/>
      </c>
      <c r="AE3">
        <f>HYPERLINK("https://klasma.github.io/Logging_1267/fåglar/S 8845-2021 prioriterade fågelarter.docx", "S 8845-2021")</f>
        <v/>
      </c>
    </row>
    <row r="4" ht="15" customHeight="1">
      <c r="A4" t="inlineStr">
        <is>
          <t>A 60427-2022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44911</v>
      </c>
      <c r="E4" s="1" t="n">
        <v>46316</v>
      </c>
      <c r="F4" t="inlineStr">
        <is>
          <t>SKÅNE LÄN</t>
        </is>
      </c>
      <c r="G4" t="inlineStr">
        <is>
          <t>HÖÖR</t>
        </is>
      </c>
      <c r="I4" t="n">
        <v>4.1</v>
      </c>
      <c r="J4" t="n">
        <v>1</v>
      </c>
      <c r="K4" t="n">
        <v>5</v>
      </c>
      <c r="L4" t="n">
        <v>3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9</v>
      </c>
      <c r="T4" t="n">
        <v>12</v>
      </c>
      <c r="U4" t="n">
        <v>12</v>
      </c>
      <c r="V4" s="2" t="inlineStr">
        <is>
          <t>Bokvårtlav
Stiftklotterlav
Vårärt
Klippfrullania
Kransrams
Myskmadra
Trädporella
Västlig hakmossa
Blåsippa</t>
        </is>
      </c>
      <c r="W4">
        <f>HYPERLINK("https://klasma.github.io/Logging_1267/artfynd/A 60427-2022 artfynd.xlsx", "A 60427-2022")</f>
        <v/>
      </c>
      <c r="X4">
        <f>HYPERLINK("https://klasma.github.io/Logging_1267/kartor/A 60427-2022 karta.png", "A 60427-2022")</f>
        <v/>
      </c>
      <c r="Y4">
        <f>HYPERLINK("https://klasma.github.io/Logging_1267/kartor_geotiff/A 60427-2022 georefererad karta.tif", "A 60427-2022")</f>
        <v/>
      </c>
      <c r="AA4">
        <f>HYPERLINK("https://klasma.github.io/Logging_1267/klagomål/A 60427-2022 FSC-klagomål.docx", "A 60427-2022")</f>
        <v/>
      </c>
      <c r="AB4">
        <f>HYPERLINK("https://klasma.github.io/Logging_1267/klagomålsmail/A 60427-2022 FSC-klagomål mail.docx", "A 60427-2022")</f>
        <v/>
      </c>
      <c r="AC4">
        <f>HYPERLINK("https://klasma.github.io/Logging_1267/tillsyn/A 60427-2022 tillsynsbegäran.docx", "A 60427-2022")</f>
        <v/>
      </c>
      <c r="AD4">
        <f>HYPERLINK("https://klasma.github.io/Logging_1267/tillsynsmail/A 60427-2022 tillsynsbegäran mail.docx", "A 60427-2022")</f>
        <v/>
      </c>
    </row>
    <row r="5" ht="15" customHeight="1">
      <c r="A5" t="inlineStr">
        <is>
          <t>A 70984-2021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44538</v>
      </c>
      <c r="E5" s="1" t="n">
        <v>46316</v>
      </c>
      <c r="F5" t="inlineStr">
        <is>
          <t>SKÅNE LÄN</t>
        </is>
      </c>
      <c r="G5" t="inlineStr">
        <is>
          <t>HÖÖR</t>
        </is>
      </c>
      <c r="I5" t="n">
        <v>1.2</v>
      </c>
      <c r="J5" t="n">
        <v>9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4</v>
      </c>
      <c r="R5" t="n">
        <v>0</v>
      </c>
      <c r="S5" t="n">
        <v>9</v>
      </c>
      <c r="T5" t="n">
        <v>9</v>
      </c>
      <c r="U5" t="n">
        <v>9</v>
      </c>
      <c r="V5" s="2" t="inlineStr">
        <is>
          <t>Barbastell
Brunlångöra
Fransfladdermus
Nordfladdermus
Dvärgpipistrell
Gråskimlig fladdermus
Större brunfladdermus
Trollpipistrell
Vattenfladdermus</t>
        </is>
      </c>
      <c r="W5">
        <f>HYPERLINK("https://klasma.github.io/Logging_1267/artfynd/A 70984-2021 artfynd.xlsx", "A 70984-2021")</f>
        <v/>
      </c>
      <c r="X5">
        <f>HYPERLINK("https://klasma.github.io/Logging_1267/kartor/A 70984-2021 karta.png", "A 70984-2021")</f>
        <v/>
      </c>
      <c r="Y5">
        <f>HYPERLINK("https://klasma.github.io/Logging_1267/kartor_geotiff/A 70984-2021 georefererad karta.tif", "A 70984-2021")</f>
        <v/>
      </c>
      <c r="AA5">
        <f>HYPERLINK("https://klasma.github.io/Logging_1267/klagomål/A 70984-2021 FSC-klagomål.docx", "A 70984-2021")</f>
        <v/>
      </c>
      <c r="AB5">
        <f>HYPERLINK("https://klasma.github.io/Logging_1267/klagomålsmail/A 70984-2021 FSC-klagomål mail.docx", "A 70984-2021")</f>
        <v/>
      </c>
      <c r="AC5">
        <f>HYPERLINK("https://klasma.github.io/Logging_1267/tillsyn/A 70984-2021 tillsynsbegäran.docx", "A 70984-2021")</f>
        <v/>
      </c>
      <c r="AD5">
        <f>HYPERLINK("https://klasma.github.io/Logging_1267/tillsynsmail/A 70984-2021 tillsynsbegäran mail.docx", "A 70984-2021")</f>
        <v/>
      </c>
    </row>
    <row r="6" ht="15" customHeight="1">
      <c r="A6" t="inlineStr">
        <is>
          <t>A 22392-2022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44713</v>
      </c>
      <c r="E6" s="1" t="n">
        <v>46316</v>
      </c>
      <c r="F6" t="inlineStr">
        <is>
          <t>SKÅNE LÄN</t>
        </is>
      </c>
      <c r="G6" t="inlineStr">
        <is>
          <t>HÖÖR</t>
        </is>
      </c>
      <c r="I6" t="n">
        <v>1</v>
      </c>
      <c r="J6" t="n">
        <v>8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8</v>
      </c>
      <c r="T6" t="n">
        <v>8</v>
      </c>
      <c r="U6" t="n">
        <v>8</v>
      </c>
      <c r="V6" s="2" t="inlineStr">
        <is>
          <t>Grönfink
Gulsparv
Spillkråka
Buskskvätta
Gröngöling
Trana
Törnskata
Ärtsångare</t>
        </is>
      </c>
      <c r="W6">
        <f>HYPERLINK("https://klasma.github.io/Logging_1267/artfynd/A 22392-2022 artfynd.xlsx", "A 22392-2022")</f>
        <v/>
      </c>
      <c r="X6">
        <f>HYPERLINK("https://klasma.github.io/Logging_1267/kartor/A 22392-2022 karta.png", "A 22392-2022")</f>
        <v/>
      </c>
      <c r="Y6">
        <f>HYPERLINK("https://klasma.github.io/Logging_1267/kartor_geotiff/A 22392-2022 georefererad karta.tif", "A 22392-2022")</f>
        <v/>
      </c>
      <c r="AA6">
        <f>HYPERLINK("https://klasma.github.io/Logging_1267/klagomål/A 22392-2022 FSC-klagomål.docx", "A 22392-2022")</f>
        <v/>
      </c>
      <c r="AB6">
        <f>HYPERLINK("https://klasma.github.io/Logging_1267/klagomålsmail/A 22392-2022 FSC-klagomål mail.docx", "A 22392-2022")</f>
        <v/>
      </c>
      <c r="AC6">
        <f>HYPERLINK("https://klasma.github.io/Logging_1267/tillsyn/A 22392-2022 tillsynsbegäran.docx", "A 22392-2022")</f>
        <v/>
      </c>
      <c r="AD6">
        <f>HYPERLINK("https://klasma.github.io/Logging_1267/tillsynsmail/A 22392-2022 tillsynsbegäran mail.docx", "A 22392-2022")</f>
        <v/>
      </c>
      <c r="AE6">
        <f>HYPERLINK("https://klasma.github.io/Logging_1267/fåglar/A 22392-2022 prioriterade fågelarter.docx", "A 22392-2022")</f>
        <v/>
      </c>
    </row>
    <row r="7" ht="15" customHeight="1">
      <c r="A7" t="inlineStr">
        <is>
          <t>A 13475-2024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45387</v>
      </c>
      <c r="E7" s="1" t="n">
        <v>46316</v>
      </c>
      <c r="F7" t="inlineStr">
        <is>
          <t>SKÅNE LÄN</t>
        </is>
      </c>
      <c r="G7" t="inlineStr">
        <is>
          <t>HÖÖR</t>
        </is>
      </c>
      <c r="I7" t="n">
        <v>1.5</v>
      </c>
      <c r="J7" t="n">
        <v>8</v>
      </c>
      <c r="K7" t="n">
        <v>0</v>
      </c>
      <c r="L7" t="n">
        <v>3</v>
      </c>
      <c r="M7" t="n">
        <v>1</v>
      </c>
      <c r="N7" t="n">
        <v>0</v>
      </c>
      <c r="O7" t="n">
        <v>0</v>
      </c>
      <c r="P7" t="n">
        <v>0</v>
      </c>
      <c r="Q7" t="n">
        <v>4</v>
      </c>
      <c r="R7" t="n">
        <v>1</v>
      </c>
      <c r="S7" t="n">
        <v>8</v>
      </c>
      <c r="T7" t="n">
        <v>8</v>
      </c>
      <c r="U7" t="n">
        <v>2</v>
      </c>
      <c r="V7" s="2" t="inlineStr">
        <is>
          <t>Grönfink
Entita
Gulsparv
Rödvingetrast
Spillkråka
Grönsiska
Kungsfågel
Röd glada</t>
        </is>
      </c>
      <c r="W7">
        <f>HYPERLINK("https://klasma.github.io/Logging_1267/artfynd/A 13475-2024 artfynd.xlsx", "A 13475-2024")</f>
        <v/>
      </c>
      <c r="X7">
        <f>HYPERLINK("https://klasma.github.io/Logging_1267/kartor/A 13475-2024 karta.png", "A 13475-2024")</f>
        <v/>
      </c>
      <c r="Y7">
        <f>HYPERLINK("https://klasma.github.io/Logging_1267/kartor_geotiff/A 13475-2024 georefererad karta.tif", "A 13475-2024")</f>
        <v/>
      </c>
      <c r="AA7">
        <f>HYPERLINK("https://klasma.github.io/Logging_1267/klagomål/A 13475-2024 FSC-klagomål.docx", "A 13475-2024")</f>
        <v/>
      </c>
      <c r="AB7">
        <f>HYPERLINK("https://klasma.github.io/Logging_1267/klagomålsmail/A 13475-2024 FSC-klagomål mail.docx", "A 13475-2024")</f>
        <v/>
      </c>
      <c r="AC7">
        <f>HYPERLINK("https://klasma.github.io/Logging_1267/tillsyn/A 13475-2024 tillsynsbegäran.docx", "A 13475-2024")</f>
        <v/>
      </c>
      <c r="AD7">
        <f>HYPERLINK("https://klasma.github.io/Logging_1267/tillsynsmail/A 13475-2024 tillsynsbegäran mail.docx", "A 13475-2024")</f>
        <v/>
      </c>
      <c r="AE7">
        <f>HYPERLINK("https://klasma.github.io/Logging_1267/fåglar/A 13475-2024 prioriterade fågelarter.docx", "A 13475-2024")</f>
        <v/>
      </c>
    </row>
    <row r="8" ht="15" customHeight="1">
      <c r="A8" t="inlineStr">
        <is>
          <t>A 19517-2023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45050</v>
      </c>
      <c r="E8" s="1" t="n">
        <v>46316</v>
      </c>
      <c r="F8" t="inlineStr">
        <is>
          <t>SKÅNE LÄN</t>
        </is>
      </c>
      <c r="G8" t="inlineStr">
        <is>
          <t>HÖÖR</t>
        </is>
      </c>
      <c r="I8" t="n">
        <v>6.2</v>
      </c>
      <c r="J8" t="n">
        <v>2</v>
      </c>
      <c r="K8" t="n">
        <v>2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3</v>
      </c>
      <c r="R8" t="n">
        <v>2</v>
      </c>
      <c r="S8" t="n">
        <v>6</v>
      </c>
      <c r="T8" t="n">
        <v>6</v>
      </c>
      <c r="U8" t="n">
        <v>5</v>
      </c>
      <c r="V8" s="2" t="inlineStr">
        <is>
          <t>Backsippa
Småvänderot
Gullpudra
Dvärghäxört
Liten stinksvamp
Grönvit nattviol</t>
        </is>
      </c>
      <c r="W8">
        <f>HYPERLINK("https://klasma.github.io/Logging_1267/artfynd/A 19517-2023 artfynd.xlsx", "A 19517-2023")</f>
        <v/>
      </c>
      <c r="X8">
        <f>HYPERLINK("https://klasma.github.io/Logging_1267/kartor/A 19517-2023 karta.png", "A 19517-2023")</f>
        <v/>
      </c>
      <c r="Y8">
        <f>HYPERLINK("https://klasma.github.io/Logging_1267/kartor_geotiff/A 19517-2023 georefererad karta.tif", "A 19517-2023")</f>
        <v/>
      </c>
      <c r="AA8">
        <f>HYPERLINK("https://klasma.github.io/Logging_1267/klagomål/A 19517-2023 FSC-klagomål.docx", "A 19517-2023")</f>
        <v/>
      </c>
      <c r="AB8">
        <f>HYPERLINK("https://klasma.github.io/Logging_1267/klagomålsmail/A 19517-2023 FSC-klagomål mail.docx", "A 19517-2023")</f>
        <v/>
      </c>
      <c r="AC8">
        <f>HYPERLINK("https://klasma.github.io/Logging_1267/tillsyn/A 19517-2023 tillsynsbegäran.docx", "A 19517-2023")</f>
        <v/>
      </c>
      <c r="AD8">
        <f>HYPERLINK("https://klasma.github.io/Logging_1267/tillsynsmail/A 19517-2023 tillsynsbegäran mail.docx", "A 19517-2023")</f>
        <v/>
      </c>
    </row>
    <row r="9" ht="15" customHeight="1">
      <c r="A9" t="inlineStr">
        <is>
          <t>S 8853-2021</t>
        </is>
      </c>
      <c r="B9" t="inlineStr">
        <is>
          <t>samrådsanmälan</t>
        </is>
      </c>
      <c r="C9" t="inlineStr">
        <is>
          <t>Askåterföring</t>
        </is>
      </c>
      <c r="D9" s="1" t="n">
        <v>44503</v>
      </c>
      <c r="E9" s="1" t="n">
        <v>46316</v>
      </c>
      <c r="F9" t="inlineStr">
        <is>
          <t>SKÅNE LÄN</t>
        </is>
      </c>
      <c r="G9" t="inlineStr">
        <is>
          <t>HÖÖR</t>
        </is>
      </c>
      <c r="I9" t="n">
        <v>113.6</v>
      </c>
      <c r="J9" t="n">
        <v>2</v>
      </c>
      <c r="K9" t="n">
        <v>1</v>
      </c>
      <c r="L9" t="n">
        <v>2</v>
      </c>
      <c r="M9" t="n">
        <v>1</v>
      </c>
      <c r="N9" t="n">
        <v>1</v>
      </c>
      <c r="O9" t="n">
        <v>0</v>
      </c>
      <c r="P9" t="n">
        <v>0</v>
      </c>
      <c r="Q9" t="n">
        <v>4</v>
      </c>
      <c r="R9" t="n">
        <v>2</v>
      </c>
      <c r="S9" t="n">
        <v>6</v>
      </c>
      <c r="T9" t="n">
        <v>6</v>
      </c>
      <c r="U9" t="n">
        <v>3</v>
      </c>
      <c r="V9" s="2" t="inlineStr">
        <is>
          <t>Savlundlav
Igelkott
Koralltaggsvamp
Talltita
Skogsbräsma
Revlummer</t>
        </is>
      </c>
      <c r="W9">
        <f>HYPERLINK("https://klasma.github.io/Logging_1267/artfynd/S 8853-2021 artfynd.xlsx", "S 8853-2021")</f>
        <v/>
      </c>
      <c r="X9">
        <f>HYPERLINK("https://klasma.github.io/Logging_1267/kartor/S 8853-2021 karta.png", "S 8853-2021")</f>
        <v/>
      </c>
      <c r="Y9">
        <f>HYPERLINK("https://klasma.github.io/Logging_1267/kartor_geotiff/S 8853-2021 georefererad karta.tif", "S 8853-2021")</f>
        <v/>
      </c>
      <c r="AA9">
        <f>HYPERLINK("https://klasma.github.io/Logging_1267/klagomål/S 8853-2021 FSC-klagomål.docx", "S 8853-2021")</f>
        <v/>
      </c>
      <c r="AB9">
        <f>HYPERLINK("https://klasma.github.io/Logging_1267/klagomålsmail/S 8853-2021 FSC-klagomål mail.docx", "S 8853-2021")</f>
        <v/>
      </c>
      <c r="AC9">
        <f>HYPERLINK("https://klasma.github.io/Logging_1267/tillsyn/S 8853-2021 tillsynsbegäran.docx", "S 8853-2021")</f>
        <v/>
      </c>
      <c r="AD9">
        <f>HYPERLINK("https://klasma.github.io/Logging_1267/tillsynsmail/S 8853-2021 tillsynsbegäran mail.docx", "S 8853-2021")</f>
        <v/>
      </c>
      <c r="AE9">
        <f>HYPERLINK("https://klasma.github.io/Logging_1267/fåglar/S 8853-2021 prioriterade fågelarter.docx", "S 8853-2021")</f>
        <v/>
      </c>
    </row>
    <row r="10" ht="15" customHeight="1">
      <c r="A10" t="inlineStr">
        <is>
          <t>A 8315-2026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46064</v>
      </c>
      <c r="E10" s="1" t="n">
        <v>46316</v>
      </c>
      <c r="F10" t="inlineStr">
        <is>
          <t>SKÅNE LÄN</t>
        </is>
      </c>
      <c r="G10" t="inlineStr">
        <is>
          <t>HÖÖR</t>
        </is>
      </c>
      <c r="I10" t="n">
        <v>4.7</v>
      </c>
      <c r="J10" t="n">
        <v>4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5</v>
      </c>
      <c r="T10" t="n">
        <v>5</v>
      </c>
      <c r="U10" t="n">
        <v>4</v>
      </c>
      <c r="V10" s="2" t="inlineStr">
        <is>
          <t>Grönsångare
Småjungfrukam
Spillkråka
Kungsfågel
Skogsduva</t>
        </is>
      </c>
      <c r="W10">
        <f>HYPERLINK("https://klasma.github.io/Logging_1267/artfynd/A 8315-2026 artfynd.xlsx", "A 8315-2026")</f>
        <v/>
      </c>
      <c r="X10">
        <f>HYPERLINK("https://klasma.github.io/Logging_1267/kartor/A 8315-2026 karta.png", "A 8315-2026")</f>
        <v/>
      </c>
      <c r="Y10">
        <f>HYPERLINK("https://klasma.github.io/Logging_1267/kartor_geotiff/A 8315-2026 georefererad karta.tif", "A 8315-2026")</f>
        <v/>
      </c>
      <c r="AA10">
        <f>HYPERLINK("https://klasma.github.io/Logging_1267/klagomål/A 8315-2026 FSC-klagomål.docx", "A 8315-2026")</f>
        <v/>
      </c>
      <c r="AB10">
        <f>HYPERLINK("https://klasma.github.io/Logging_1267/klagomålsmail/A 8315-2026 FSC-klagomål mail.docx", "A 8315-2026")</f>
        <v/>
      </c>
      <c r="AC10">
        <f>HYPERLINK("https://klasma.github.io/Logging_1267/tillsyn/A 8315-2026 tillsynsbegäran.docx", "A 8315-2026")</f>
        <v/>
      </c>
      <c r="AD10">
        <f>HYPERLINK("https://klasma.github.io/Logging_1267/tillsynsmail/A 8315-2026 tillsynsbegäran mail.docx", "A 8315-2026")</f>
        <v/>
      </c>
      <c r="AE10">
        <f>HYPERLINK("https://klasma.github.io/Logging_1267/fåglar/A 8315-2026 prioriterade fågelarter.docx", "A 8315-2026")</f>
        <v/>
      </c>
    </row>
    <row r="11" ht="15" customHeight="1">
      <c r="A11" t="inlineStr">
        <is>
          <t>A 24278-2023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45079</v>
      </c>
      <c r="E11" s="1" t="n">
        <v>46316</v>
      </c>
      <c r="F11" t="inlineStr">
        <is>
          <t>SKÅNE LÄN</t>
        </is>
      </c>
      <c r="G11" t="inlineStr">
        <is>
          <t>HÖÖR</t>
        </is>
      </c>
      <c r="I11" t="n">
        <v>0.8</v>
      </c>
      <c r="J11" t="n">
        <v>5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5</v>
      </c>
      <c r="T11" t="n">
        <v>5</v>
      </c>
      <c r="U11" t="n">
        <v>5</v>
      </c>
      <c r="V11" s="2" t="inlineStr">
        <is>
          <t>Björktrast
Rödvingetrast
Spillkråka
Sångsvan
Trana</t>
        </is>
      </c>
      <c r="W11">
        <f>HYPERLINK("https://klasma.github.io/Logging_1267/artfynd/A 24278-2023 artfynd.xlsx", "A 24278-2023")</f>
        <v/>
      </c>
      <c r="X11">
        <f>HYPERLINK("https://klasma.github.io/Logging_1267/kartor/A 24278-2023 karta.png", "A 24278-2023")</f>
        <v/>
      </c>
      <c r="Y11">
        <f>HYPERLINK("https://klasma.github.io/Logging_1267/kartor_geotiff/A 24278-2023 georefererad karta.tif", "A 24278-2023")</f>
        <v/>
      </c>
      <c r="AA11">
        <f>HYPERLINK("https://klasma.github.io/Logging_1267/klagomål/A 24278-2023 FSC-klagomål.docx", "A 24278-2023")</f>
        <v/>
      </c>
      <c r="AB11">
        <f>HYPERLINK("https://klasma.github.io/Logging_1267/klagomålsmail/A 24278-2023 FSC-klagomål mail.docx", "A 24278-2023")</f>
        <v/>
      </c>
      <c r="AC11">
        <f>HYPERLINK("https://klasma.github.io/Logging_1267/tillsyn/A 24278-2023 tillsynsbegäran.docx", "A 24278-2023")</f>
        <v/>
      </c>
      <c r="AD11">
        <f>HYPERLINK("https://klasma.github.io/Logging_1267/tillsynsmail/A 24278-2023 tillsynsbegäran mail.docx", "A 24278-2023")</f>
        <v/>
      </c>
      <c r="AE11">
        <f>HYPERLINK("https://klasma.github.io/Logging_1267/fåglar/A 24278-2023 prioriterade fågelarter.docx", "A 24278-2023")</f>
        <v/>
      </c>
    </row>
    <row r="12" ht="15" customHeight="1">
      <c r="A12" t="inlineStr">
        <is>
          <t>A 42692-2022</t>
        </is>
      </c>
      <c r="B12" t="inlineStr">
        <is>
          <t>avverkningsanmälan</t>
        </is>
      </c>
      <c r="C12" t="inlineStr">
        <is>
          <t>Avverkning för annat ändamål</t>
        </is>
      </c>
      <c r="D12" s="1" t="n">
        <v>44832</v>
      </c>
      <c r="E12" s="1" t="n">
        <v>46316</v>
      </c>
      <c r="F12" t="inlineStr">
        <is>
          <t>SKÅNE LÄN</t>
        </is>
      </c>
      <c r="G12" t="inlineStr">
        <is>
          <t>HÖÖR</t>
        </is>
      </c>
      <c r="I12" t="n">
        <v>5.8</v>
      </c>
      <c r="J12" t="n">
        <v>1</v>
      </c>
      <c r="K12" t="n">
        <v>0</v>
      </c>
      <c r="L12" t="n">
        <v>2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1</v>
      </c>
      <c r="S12" t="n">
        <v>5</v>
      </c>
      <c r="T12" t="n">
        <v>5</v>
      </c>
      <c r="U12" t="n">
        <v>4</v>
      </c>
      <c r="V12" s="2" t="inlineStr">
        <is>
          <t>Brunfläckig pärlemorfjäril
Loppstarr
Ängsstarr
Bandpraktmossa
Sankt pers nycklar</t>
        </is>
      </c>
      <c r="W12">
        <f>HYPERLINK("https://klasma.github.io/Logging_1267/artfynd/A 42692-2022 artfynd.xlsx", "A 42692-2022")</f>
        <v/>
      </c>
      <c r="X12">
        <f>HYPERLINK("https://klasma.github.io/Logging_1267/kartor/A 42692-2022 karta.png", "A 42692-2022")</f>
        <v/>
      </c>
      <c r="Y12">
        <f>HYPERLINK("https://klasma.github.io/Logging_1267/kartor_geotiff/A 42692-2022 georefererad karta.tif", "A 42692-2022")</f>
        <v/>
      </c>
      <c r="AA12">
        <f>HYPERLINK("https://klasma.github.io/Logging_1267/klagomål/A 42692-2022 FSC-klagomål.docx", "A 42692-2022")</f>
        <v/>
      </c>
      <c r="AB12">
        <f>HYPERLINK("https://klasma.github.io/Logging_1267/klagomålsmail/A 42692-2022 FSC-klagomål mail.docx", "A 42692-2022")</f>
        <v/>
      </c>
      <c r="AC12">
        <f>HYPERLINK("https://klasma.github.io/Logging_1267/tillsyn/A 42692-2022 tillsynsbegäran.docx", "A 42692-2022")</f>
        <v/>
      </c>
      <c r="AD12">
        <f>HYPERLINK("https://klasma.github.io/Logging_1267/tillsynsmail/A 42692-2022 tillsynsbegäran mail.docx", "A 42692-2022")</f>
        <v/>
      </c>
    </row>
    <row r="13" ht="15" customHeight="1">
      <c r="A13" t="inlineStr">
        <is>
          <t>A 30603-2026</t>
        </is>
      </c>
      <c r="B13" t="inlineStr">
        <is>
          <t>avverkningsanmälan</t>
        </is>
      </c>
      <c r="C13" t="inlineStr">
        <is>
          <t>Avverkning för att bevara och utveckla /försöksver</t>
        </is>
      </c>
      <c r="D13" s="1" t="n">
        <v>46210</v>
      </c>
      <c r="E13" s="1" t="n">
        <v>46316</v>
      </c>
      <c r="F13" t="inlineStr">
        <is>
          <t>SKÅNE LÄN</t>
        </is>
      </c>
      <c r="G13" t="inlineStr">
        <is>
          <t>HÖÖR</t>
        </is>
      </c>
      <c r="I13" t="n">
        <v>3.3</v>
      </c>
      <c r="J13" t="n">
        <v>3</v>
      </c>
      <c r="K13" t="n">
        <v>0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4</v>
      </c>
      <c r="T13" t="n">
        <v>5</v>
      </c>
      <c r="U13" t="n">
        <v>0</v>
      </c>
      <c r="V13" s="2" t="inlineStr">
        <is>
          <t>Igelkott
Kungsfiskare
Ägretthäger
Fiskgjuse</t>
        </is>
      </c>
      <c r="W13">
        <f>HYPERLINK("https://klasma.github.io/Logging_1267/artfynd/A 30603-2026 artfynd.xlsx", "A 30603-2026")</f>
        <v/>
      </c>
      <c r="X13">
        <f>HYPERLINK("https://klasma.github.io/Logging_1267/kartor/A 30603-2026 karta.png", "A 30603-2026")</f>
        <v/>
      </c>
      <c r="Y13">
        <f>HYPERLINK("https://klasma.github.io/Logging_1267/kartor_geotiff/A 30603-2026 georefererad karta.tif", "A 30603-2026")</f>
        <v/>
      </c>
      <c r="AA13">
        <f>HYPERLINK("https://klasma.github.io/Logging_1267/klagomål/A 30603-2026 FSC-klagomål.docx", "A 30603-2026")</f>
        <v/>
      </c>
      <c r="AB13">
        <f>HYPERLINK("https://klasma.github.io/Logging_1267/klagomålsmail/A 30603-2026 FSC-klagomål mail.docx", "A 30603-2026")</f>
        <v/>
      </c>
      <c r="AC13">
        <f>HYPERLINK("https://klasma.github.io/Logging_1267/tillsyn/A 30603-2026 tillsynsbegäran.docx", "A 30603-2026")</f>
        <v/>
      </c>
      <c r="AD13">
        <f>HYPERLINK("https://klasma.github.io/Logging_1267/tillsynsmail/A 30603-2026 tillsynsbegäran mail.docx", "A 30603-2026")</f>
        <v/>
      </c>
      <c r="AE13">
        <f>HYPERLINK("https://klasma.github.io/Logging_1267/fåglar/A 30603-2026 prioriterade fågelarter.docx", "A 30603-2026")</f>
        <v/>
      </c>
    </row>
    <row r="14" ht="15" customHeight="1">
      <c r="A14" t="inlineStr">
        <is>
          <t>A 2787-2024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45314</v>
      </c>
      <c r="E14" s="1" t="n">
        <v>46316</v>
      </c>
      <c r="F14" t="inlineStr">
        <is>
          <t>SKÅNE LÄN</t>
        </is>
      </c>
      <c r="G14" t="inlineStr">
        <is>
          <t>HÖÖR</t>
        </is>
      </c>
      <c r="I14" t="n">
        <v>0.8</v>
      </c>
      <c r="J14" t="n">
        <v>4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4</v>
      </c>
      <c r="U14" t="n">
        <v>0</v>
      </c>
      <c r="V14" s="2" t="inlineStr">
        <is>
          <t>Brunlångöra
Nordfladdermus
Större brunfladdermus
Vattenfladdermus</t>
        </is>
      </c>
      <c r="W14">
        <f>HYPERLINK("https://klasma.github.io/Logging_1267/artfynd/A 2787-2024 artfynd.xlsx", "A 2787-2024")</f>
        <v/>
      </c>
      <c r="X14">
        <f>HYPERLINK("https://klasma.github.io/Logging_1267/kartor/A 2787-2024 karta.png", "A 2787-2024")</f>
        <v/>
      </c>
      <c r="Y14">
        <f>HYPERLINK("https://klasma.github.io/Logging_1267/kartor_geotiff/A 2787-2024 georefererad karta.tif", "A 2787-2024")</f>
        <v/>
      </c>
      <c r="AA14">
        <f>HYPERLINK("https://klasma.github.io/Logging_1267/klagomål/A 2787-2024 FSC-klagomål.docx", "A 2787-2024")</f>
        <v/>
      </c>
      <c r="AB14">
        <f>HYPERLINK("https://klasma.github.io/Logging_1267/klagomålsmail/A 2787-2024 FSC-klagomål mail.docx", "A 2787-2024")</f>
        <v/>
      </c>
      <c r="AC14">
        <f>HYPERLINK("https://klasma.github.io/Logging_1267/tillsyn/A 2787-2024 tillsynsbegäran.docx", "A 2787-2024")</f>
        <v/>
      </c>
      <c r="AD14">
        <f>HYPERLINK("https://klasma.github.io/Logging_1267/tillsynsmail/A 2787-2024 tillsynsbegäran mail.docx", "A 2787-2024")</f>
        <v/>
      </c>
    </row>
    <row r="15" ht="15" customHeight="1">
      <c r="A15" t="inlineStr">
        <is>
          <t>A 12111-2025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45729</v>
      </c>
      <c r="E15" s="1" t="n">
        <v>46316</v>
      </c>
      <c r="F15" t="inlineStr">
        <is>
          <t>SKÅNE LÄN</t>
        </is>
      </c>
      <c r="G15" t="inlineStr">
        <is>
          <t>HÖÖR</t>
        </is>
      </c>
      <c r="I15" t="n">
        <v>3.7</v>
      </c>
      <c r="J15" t="n">
        <v>3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3</v>
      </c>
      <c r="T15" t="n">
        <v>3</v>
      </c>
      <c r="U15" t="n">
        <v>0</v>
      </c>
      <c r="V15" s="2" t="inlineStr">
        <is>
          <t>Tofsvipa
Tornseglare
Gröngöling</t>
        </is>
      </c>
      <c r="W15">
        <f>HYPERLINK("https://klasma.github.io/Logging_1267/artfynd/A 12111-2025 artfynd.xlsx", "A 12111-2025")</f>
        <v/>
      </c>
      <c r="X15">
        <f>HYPERLINK("https://klasma.github.io/Logging_1267/kartor/A 12111-2025 karta.png", "A 12111-2025")</f>
        <v/>
      </c>
      <c r="Y15">
        <f>HYPERLINK("https://klasma.github.io/Logging_1267/kartor_geotiff/A 12111-2025 georefererad karta.tif", "A 12111-2025")</f>
        <v/>
      </c>
      <c r="AA15">
        <f>HYPERLINK("https://klasma.github.io/Logging_1267/klagomål/A 12111-2025 FSC-klagomål.docx", "A 12111-2025")</f>
        <v/>
      </c>
      <c r="AB15">
        <f>HYPERLINK("https://klasma.github.io/Logging_1267/klagomålsmail/A 12111-2025 FSC-klagomål mail.docx", "A 12111-2025")</f>
        <v/>
      </c>
      <c r="AC15">
        <f>HYPERLINK("https://klasma.github.io/Logging_1267/tillsyn/A 12111-2025 tillsynsbegäran.docx", "A 12111-2025")</f>
        <v/>
      </c>
      <c r="AD15">
        <f>HYPERLINK("https://klasma.github.io/Logging_1267/tillsynsmail/A 12111-2025 tillsynsbegäran mail.docx", "A 12111-2025")</f>
        <v/>
      </c>
      <c r="AE15">
        <f>HYPERLINK("https://klasma.github.io/Logging_1267/fåglar/A 12111-2025 prioriterade fågelarter.docx", "A 12111-2025")</f>
        <v/>
      </c>
    </row>
    <row r="16" ht="15" customHeight="1">
      <c r="A16" t="inlineStr">
        <is>
          <t>A 30645-2022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44763</v>
      </c>
      <c r="E16" s="1" t="n">
        <v>46316</v>
      </c>
      <c r="F16" t="inlineStr">
        <is>
          <t>SKÅNE LÄN</t>
        </is>
      </c>
      <c r="G16" t="inlineStr">
        <is>
          <t>HÖÖR</t>
        </is>
      </c>
      <c r="I16" t="n">
        <v>1.3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3</v>
      </c>
      <c r="T16" t="n">
        <v>3</v>
      </c>
      <c r="U16" t="n">
        <v>3</v>
      </c>
      <c r="V16" s="2" t="inlineStr">
        <is>
          <t>Ask
Murgröna
Nattviol</t>
        </is>
      </c>
      <c r="W16">
        <f>HYPERLINK("https://klasma.github.io/Logging_1267/artfynd/A 30645-2022 artfynd.xlsx", "A 30645-2022")</f>
        <v/>
      </c>
      <c r="X16">
        <f>HYPERLINK("https://klasma.github.io/Logging_1267/kartor/A 30645-2022 karta.png", "A 30645-2022")</f>
        <v/>
      </c>
      <c r="Y16">
        <f>HYPERLINK("https://klasma.github.io/Logging_1267/kartor_geotiff/A 30645-2022 georefererad karta.tif", "A 30645-2022")</f>
        <v/>
      </c>
      <c r="AA16">
        <f>HYPERLINK("https://klasma.github.io/Logging_1267/klagomål/A 30645-2022 FSC-klagomål.docx", "A 30645-2022")</f>
        <v/>
      </c>
      <c r="AB16">
        <f>HYPERLINK("https://klasma.github.io/Logging_1267/klagomålsmail/A 30645-2022 FSC-klagomål mail.docx", "A 30645-2022")</f>
        <v/>
      </c>
      <c r="AC16">
        <f>HYPERLINK("https://klasma.github.io/Logging_1267/tillsyn/A 30645-2022 tillsynsbegäran.docx", "A 30645-2022")</f>
        <v/>
      </c>
      <c r="AD16">
        <f>HYPERLINK("https://klasma.github.io/Logging_1267/tillsynsmail/A 30645-2022 tillsynsbegäran mail.docx", "A 30645-2022")</f>
        <v/>
      </c>
    </row>
    <row r="17" ht="15" customHeight="1">
      <c r="A17" t="inlineStr">
        <is>
          <t>A 7616-2024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45348</v>
      </c>
      <c r="E17" s="1" t="n">
        <v>46316</v>
      </c>
      <c r="F17" t="inlineStr">
        <is>
          <t>SKÅNE LÄN</t>
        </is>
      </c>
      <c r="G17" t="inlineStr">
        <is>
          <t>HÖÖR</t>
        </is>
      </c>
      <c r="I17" t="n">
        <v>4.2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3</v>
      </c>
      <c r="T17" t="n">
        <v>3</v>
      </c>
      <c r="U17" t="n">
        <v>2</v>
      </c>
      <c r="V17" s="2" t="inlineStr">
        <is>
          <t>Kösa
Åkerkulla
Skogsödla</t>
        </is>
      </c>
      <c r="W17">
        <f>HYPERLINK("https://klasma.github.io/Logging_1267/artfynd/A 7616-2024 artfynd.xlsx", "A 7616-2024")</f>
        <v/>
      </c>
      <c r="X17">
        <f>HYPERLINK("https://klasma.github.io/Logging_1267/kartor/A 7616-2024 karta.png", "A 7616-2024")</f>
        <v/>
      </c>
      <c r="Y17">
        <f>HYPERLINK("https://klasma.github.io/Logging_1267/kartor_geotiff/A 7616-2024 georefererad karta.tif", "A 7616-2024")</f>
        <v/>
      </c>
      <c r="AA17">
        <f>HYPERLINK("https://klasma.github.io/Logging_1267/klagomål/A 7616-2024 FSC-klagomål.docx", "A 7616-2024")</f>
        <v/>
      </c>
      <c r="AB17">
        <f>HYPERLINK("https://klasma.github.io/Logging_1267/klagomålsmail/A 7616-2024 FSC-klagomål mail.docx", "A 7616-2024")</f>
        <v/>
      </c>
      <c r="AC17">
        <f>HYPERLINK("https://klasma.github.io/Logging_1267/tillsyn/A 7616-2024 tillsynsbegäran.docx", "A 7616-2024")</f>
        <v/>
      </c>
      <c r="AD17">
        <f>HYPERLINK("https://klasma.github.io/Logging_1267/tillsynsmail/A 7616-2024 tillsynsbegäran mail.docx", "A 7616-2024")</f>
        <v/>
      </c>
    </row>
    <row r="18" ht="15" customHeight="1">
      <c r="A18" t="inlineStr">
        <is>
          <t>S 2917-2022</t>
        </is>
      </c>
      <c r="B18" t="inlineStr">
        <is>
          <t>samrådsanmälan</t>
        </is>
      </c>
      <c r="C18" t="inlineStr">
        <is>
          <t>Askåterföring</t>
        </is>
      </c>
      <c r="D18" s="1" t="n">
        <v>44711</v>
      </c>
      <c r="E18" s="1" t="n">
        <v>46316</v>
      </c>
      <c r="F18" t="inlineStr">
        <is>
          <t>SKÅNE LÄN</t>
        </is>
      </c>
      <c r="G18" t="inlineStr">
        <is>
          <t>HÖÖR</t>
        </is>
      </c>
      <c r="I18" t="n">
        <v>13.6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1</v>
      </c>
      <c r="S18" t="n">
        <v>3</v>
      </c>
      <c r="T18" t="n">
        <v>3</v>
      </c>
      <c r="U18" t="n">
        <v>3</v>
      </c>
      <c r="V18" s="2" t="inlineStr">
        <is>
          <t>Skogsalm
Mörk dunört
Grönvit nattviol</t>
        </is>
      </c>
      <c r="W18">
        <f>HYPERLINK("https://klasma.github.io/Logging_1267/artfynd/S 2917-2022 artfynd.xlsx", "S 2917-2022")</f>
        <v/>
      </c>
      <c r="X18">
        <f>HYPERLINK("https://klasma.github.io/Logging_1267/kartor/S 2917-2022 karta.png", "S 2917-2022")</f>
        <v/>
      </c>
      <c r="Y18">
        <f>HYPERLINK("https://klasma.github.io/Logging_1267/kartor_geotiff/S 2917-2022 georefererad karta.tif", "S 2917-2022")</f>
        <v/>
      </c>
      <c r="AA18">
        <f>HYPERLINK("https://klasma.github.io/Logging_1267/klagomål/S 2917-2022 FSC-klagomål.docx", "S 2917-2022")</f>
        <v/>
      </c>
      <c r="AB18">
        <f>HYPERLINK("https://klasma.github.io/Logging_1267/klagomålsmail/S 2917-2022 FSC-klagomål mail.docx", "S 2917-2022")</f>
        <v/>
      </c>
      <c r="AC18">
        <f>HYPERLINK("https://klasma.github.io/Logging_1267/tillsyn/S 2917-2022 tillsynsbegäran.docx", "S 2917-2022")</f>
        <v/>
      </c>
      <c r="AD18">
        <f>HYPERLINK("https://klasma.github.io/Logging_1267/tillsynsmail/S 2917-2022 tillsynsbegäran mail.docx", "S 2917-2022")</f>
        <v/>
      </c>
    </row>
    <row r="19" ht="15" customHeight="1">
      <c r="A19" t="inlineStr">
        <is>
          <t>S 3290-2023</t>
        </is>
      </c>
      <c r="B19" t="inlineStr">
        <is>
          <t>samrådsanmälan</t>
        </is>
      </c>
      <c r="C19" t="inlineStr">
        <is>
          <t>Askåterföring</t>
        </is>
      </c>
      <c r="D19" s="1" t="n">
        <v>45194</v>
      </c>
      <c r="E19" s="1" t="n">
        <v>46316</v>
      </c>
      <c r="F19" t="inlineStr">
        <is>
          <t>SKÅNE LÄN</t>
        </is>
      </c>
      <c r="G19" t="inlineStr">
        <is>
          <t>HÖÖR</t>
        </is>
      </c>
      <c r="I19" t="n">
        <v>25.9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3</v>
      </c>
      <c r="T19" t="n">
        <v>3</v>
      </c>
      <c r="U19" t="n">
        <v>2</v>
      </c>
      <c r="V19" s="2" t="inlineStr">
        <is>
          <t>Småvänderot
Liten stinksvamp
Grönvit nattviol</t>
        </is>
      </c>
      <c r="W19">
        <f>HYPERLINK("https://klasma.github.io/Logging_1267/artfynd/S 3290-2023 artfynd.xlsx", "S 3290-2023")</f>
        <v/>
      </c>
      <c r="X19">
        <f>HYPERLINK("https://klasma.github.io/Logging_1267/kartor/S 3290-2023 karta.png", "S 3290-2023")</f>
        <v/>
      </c>
      <c r="Y19">
        <f>HYPERLINK("https://klasma.github.io/Logging_1267/kartor_geotiff/S 3290-2023 georefererad karta.tif", "S 3290-2023")</f>
        <v/>
      </c>
      <c r="AA19">
        <f>HYPERLINK("https://klasma.github.io/Logging_1267/klagomål/S 3290-2023 FSC-klagomål.docx", "S 3290-2023")</f>
        <v/>
      </c>
      <c r="AB19">
        <f>HYPERLINK("https://klasma.github.io/Logging_1267/klagomålsmail/S 3290-2023 FSC-klagomål mail.docx", "S 3290-2023")</f>
        <v/>
      </c>
      <c r="AC19">
        <f>HYPERLINK("https://klasma.github.io/Logging_1267/tillsyn/S 3290-2023 tillsynsbegäran.docx", "S 3290-2023")</f>
        <v/>
      </c>
      <c r="AD19">
        <f>HYPERLINK("https://klasma.github.io/Logging_1267/tillsynsmail/S 3290-2023 tillsynsbegäran mail.docx", "S 3290-2023")</f>
        <v/>
      </c>
    </row>
    <row r="20" ht="15" customHeight="1">
      <c r="A20" t="inlineStr">
        <is>
          <t>S 8867-2021</t>
        </is>
      </c>
      <c r="B20" t="inlineStr">
        <is>
          <t>samrådsanmälan</t>
        </is>
      </c>
      <c r="C20" t="inlineStr">
        <is>
          <t>Askåterföring</t>
        </is>
      </c>
      <c r="D20" s="1" t="n">
        <v>44503</v>
      </c>
      <c r="E20" s="1" t="n">
        <v>46316</v>
      </c>
      <c r="F20" t="inlineStr">
        <is>
          <t>SKÅNE LÄN</t>
        </is>
      </c>
      <c r="G20" t="inlineStr">
        <is>
          <t>HÖÖR</t>
        </is>
      </c>
      <c r="I20" t="n">
        <v>23.2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3</v>
      </c>
      <c r="U20" t="n">
        <v>3</v>
      </c>
      <c r="V20" s="2" t="inlineStr">
        <is>
          <t>Igelkott
Talltita
Skogsbräsma</t>
        </is>
      </c>
      <c r="W20">
        <f>HYPERLINK("https://klasma.github.io/Logging_1267/artfynd/S 8867-2021 artfynd.xlsx", "S 8867-2021")</f>
        <v/>
      </c>
      <c r="X20">
        <f>HYPERLINK("https://klasma.github.io/Logging_1267/kartor/S 8867-2021 karta.png", "S 8867-2021")</f>
        <v/>
      </c>
      <c r="Y20">
        <f>HYPERLINK("https://klasma.github.io/Logging_1267/kartor_geotiff/S 8867-2021 georefererad karta.tif", "S 8867-2021")</f>
        <v/>
      </c>
      <c r="AA20">
        <f>HYPERLINK("https://klasma.github.io/Logging_1267/klagomål/S 8867-2021 FSC-klagomål.docx", "S 8867-2021")</f>
        <v/>
      </c>
      <c r="AB20">
        <f>HYPERLINK("https://klasma.github.io/Logging_1267/klagomålsmail/S 8867-2021 FSC-klagomål mail.docx", "S 8867-2021")</f>
        <v/>
      </c>
      <c r="AC20">
        <f>HYPERLINK("https://klasma.github.io/Logging_1267/tillsyn/S 8867-2021 tillsynsbegäran.docx", "S 8867-2021")</f>
        <v/>
      </c>
      <c r="AD20">
        <f>HYPERLINK("https://klasma.github.io/Logging_1267/tillsynsmail/S 8867-2021 tillsynsbegäran mail.docx", "S 8867-2021")</f>
        <v/>
      </c>
      <c r="AE20">
        <f>HYPERLINK("https://klasma.github.io/Logging_1267/fåglar/S 8867-2021 prioriterade fågelarter.docx", "S 8867-2021")</f>
        <v/>
      </c>
    </row>
    <row r="21" ht="15" customHeight="1">
      <c r="A21" t="inlineStr">
        <is>
          <t>A 8443-2022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44612</v>
      </c>
      <c r="E21" s="1" t="n">
        <v>46316</v>
      </c>
      <c r="F21" t="inlineStr">
        <is>
          <t>SKÅNE LÄN</t>
        </is>
      </c>
      <c r="G21" t="inlineStr">
        <is>
          <t>HÖÖR</t>
        </is>
      </c>
      <c r="I21" t="n">
        <v>0.9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3</v>
      </c>
      <c r="U21" t="n">
        <v>3</v>
      </c>
      <c r="V21" s="2" t="inlineStr">
        <is>
          <t>Mindre hackspett
Gröngöling</t>
        </is>
      </c>
      <c r="W21">
        <f>HYPERLINK("https://klasma.github.io/Logging_1267/artfynd/A 8443-2022 artfynd.xlsx", "A 8443-2022")</f>
        <v/>
      </c>
      <c r="X21">
        <f>HYPERLINK("https://klasma.github.io/Logging_1267/kartor/A 8443-2022 karta.png", "A 8443-2022")</f>
        <v/>
      </c>
      <c r="Y21">
        <f>HYPERLINK("https://klasma.github.io/Logging_1267/kartor_geotiff/A 8443-2022 georefererad karta.tif", "A 8443-2022")</f>
        <v/>
      </c>
      <c r="AA21">
        <f>HYPERLINK("https://klasma.github.io/Logging_1267/klagomål/A 8443-2022 FSC-klagomål.docx", "A 8443-2022")</f>
        <v/>
      </c>
      <c r="AB21">
        <f>HYPERLINK("https://klasma.github.io/Logging_1267/klagomålsmail/A 8443-2022 FSC-klagomål mail.docx", "A 8443-2022")</f>
        <v/>
      </c>
      <c r="AC21">
        <f>HYPERLINK("https://klasma.github.io/Logging_1267/tillsyn/A 8443-2022 tillsynsbegäran.docx", "A 8443-2022")</f>
        <v/>
      </c>
      <c r="AD21">
        <f>HYPERLINK("https://klasma.github.io/Logging_1267/tillsynsmail/A 8443-2022 tillsynsbegäran mail.docx", "A 8443-2022")</f>
        <v/>
      </c>
      <c r="AE21">
        <f>HYPERLINK("https://klasma.github.io/Logging_1267/fåglar/A 8443-2022 prioriterade fågelarter.docx", "A 8443-2022")</f>
        <v/>
      </c>
    </row>
    <row r="22" ht="15" customHeight="1">
      <c r="A22" t="inlineStr">
        <is>
          <t>A 2942-2024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45315</v>
      </c>
      <c r="E22" s="1" t="n">
        <v>46316</v>
      </c>
      <c r="F22" t="inlineStr">
        <is>
          <t>SKÅNE LÄN</t>
        </is>
      </c>
      <c r="G22" t="inlineStr">
        <is>
          <t>HÖÖR</t>
        </is>
      </c>
      <c r="I22" t="n">
        <v>11.2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Skogsbräsma
Revlummer</t>
        </is>
      </c>
      <c r="W22">
        <f>HYPERLINK("https://klasma.github.io/Logging_1267/artfynd/A 2942-2024 artfynd.xlsx", "A 2942-2024")</f>
        <v/>
      </c>
      <c r="X22">
        <f>HYPERLINK("https://klasma.github.io/Logging_1267/kartor/A 2942-2024 karta.png", "A 2942-2024")</f>
        <v/>
      </c>
      <c r="Y22">
        <f>HYPERLINK("https://klasma.github.io/Logging_1267/kartor_geotiff/A 2942-2024 georefererad karta.tif", "A 2942-2024")</f>
        <v/>
      </c>
      <c r="AA22">
        <f>HYPERLINK("https://klasma.github.io/Logging_1267/klagomål/A 2942-2024 FSC-klagomål.docx", "A 2942-2024")</f>
        <v/>
      </c>
      <c r="AB22">
        <f>HYPERLINK("https://klasma.github.io/Logging_1267/klagomålsmail/A 2942-2024 FSC-klagomål mail.docx", "A 2942-2024")</f>
        <v/>
      </c>
      <c r="AC22">
        <f>HYPERLINK("https://klasma.github.io/Logging_1267/tillsyn/A 2942-2024 tillsynsbegäran.docx", "A 2942-2024")</f>
        <v/>
      </c>
      <c r="AD22">
        <f>HYPERLINK("https://klasma.github.io/Logging_1267/tillsynsmail/A 2942-2024 tillsynsbegäran mail.docx", "A 2942-2024")</f>
        <v/>
      </c>
    </row>
    <row r="23" ht="15" customHeight="1">
      <c r="A23" t="inlineStr">
        <is>
          <t>A 8329-2026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46064</v>
      </c>
      <c r="E23" s="1" t="n">
        <v>46316</v>
      </c>
      <c r="F23" t="inlineStr">
        <is>
          <t>SKÅNE LÄN</t>
        </is>
      </c>
      <c r="G23" t="inlineStr">
        <is>
          <t>HÖÖR</t>
        </is>
      </c>
      <c r="I23" t="n">
        <v>2.2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2</v>
      </c>
      <c r="T23" t="n">
        <v>2</v>
      </c>
      <c r="U23" t="n">
        <v>2</v>
      </c>
      <c r="V23" s="2" t="inlineStr">
        <is>
          <t>Grönsångare
Spillkråka</t>
        </is>
      </c>
      <c r="W23">
        <f>HYPERLINK("https://klasma.github.io/Logging_1267/artfynd/A 8329-2026 artfynd.xlsx", "A 8329-2026")</f>
        <v/>
      </c>
      <c r="X23">
        <f>HYPERLINK("https://klasma.github.io/Logging_1267/kartor/A 8329-2026 karta.png", "A 8329-2026")</f>
        <v/>
      </c>
      <c r="Y23">
        <f>HYPERLINK("https://klasma.github.io/Logging_1267/kartor_geotiff/A 8329-2026 georefererad karta.tif", "A 8329-2026")</f>
        <v/>
      </c>
      <c r="AA23">
        <f>HYPERLINK("https://klasma.github.io/Logging_1267/klagomål/A 8329-2026 FSC-klagomål.docx", "A 8329-2026")</f>
        <v/>
      </c>
      <c r="AB23">
        <f>HYPERLINK("https://klasma.github.io/Logging_1267/klagomålsmail/A 8329-2026 FSC-klagomål mail.docx", "A 8329-2026")</f>
        <v/>
      </c>
      <c r="AC23">
        <f>HYPERLINK("https://klasma.github.io/Logging_1267/tillsyn/A 8329-2026 tillsynsbegäran.docx", "A 8329-2026")</f>
        <v/>
      </c>
      <c r="AD23">
        <f>HYPERLINK("https://klasma.github.io/Logging_1267/tillsynsmail/A 8329-2026 tillsynsbegäran mail.docx", "A 8329-2026")</f>
        <v/>
      </c>
      <c r="AE23">
        <f>HYPERLINK("https://klasma.github.io/Logging_1267/fåglar/A 8329-2026 prioriterade fågelarter.docx", "A 8329-2026")</f>
        <v/>
      </c>
    </row>
    <row r="24" ht="15" customHeight="1">
      <c r="A24" t="inlineStr">
        <is>
          <t>A 38317-2026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46282</v>
      </c>
      <c r="E24" s="1" t="n">
        <v>46316</v>
      </c>
      <c r="F24" t="inlineStr">
        <is>
          <t>SKÅNE LÄN</t>
        </is>
      </c>
      <c r="G24" t="inlineStr">
        <is>
          <t>HÖÖR</t>
        </is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2</v>
      </c>
      <c r="T24" t="n">
        <v>2</v>
      </c>
      <c r="U24" t="n">
        <v>0</v>
      </c>
      <c r="V24" s="2" t="inlineStr">
        <is>
          <t>Småvänderot
Gullpudra</t>
        </is>
      </c>
      <c r="W24">
        <f>HYPERLINK("https://klasma.github.io/Logging_1267/artfynd/A 38317-2026 artfynd.xlsx", "A 38317-2026")</f>
        <v/>
      </c>
      <c r="X24">
        <f>HYPERLINK("https://klasma.github.io/Logging_1267/kartor/A 38317-2026 karta.png", "A 38317-2026")</f>
        <v/>
      </c>
      <c r="Y24">
        <f>HYPERLINK("https://klasma.github.io/Logging_1267/kartor_geotiff/A 38317-2026 georefererad karta.tif", "A 38317-2026")</f>
        <v/>
      </c>
      <c r="AA24">
        <f>HYPERLINK("https://klasma.github.io/Logging_1267/klagomål/A 38317-2026 FSC-klagomål.docx", "A 38317-2026")</f>
        <v/>
      </c>
      <c r="AB24">
        <f>HYPERLINK("https://klasma.github.io/Logging_1267/klagomålsmail/A 38317-2026 FSC-klagomål mail.docx", "A 38317-2026")</f>
        <v/>
      </c>
      <c r="AC24">
        <f>HYPERLINK("https://klasma.github.io/Logging_1267/tillsyn/A 38317-2026 tillsynsbegäran.docx", "A 38317-2026")</f>
        <v/>
      </c>
      <c r="AD24">
        <f>HYPERLINK("https://klasma.github.io/Logging_1267/tillsynsmail/A 38317-2026 tillsynsbegäran mail.docx", "A 38317-2026")</f>
        <v/>
      </c>
    </row>
    <row r="25" ht="15" customHeight="1">
      <c r="A25" t="inlineStr">
        <is>
          <t>A 24597-2026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46170</v>
      </c>
      <c r="E25" s="1" t="n">
        <v>46316</v>
      </c>
      <c r="F25" t="inlineStr">
        <is>
          <t>SKÅNE LÄN</t>
        </is>
      </c>
      <c r="G25" t="inlineStr">
        <is>
          <t>HÖÖR</t>
        </is>
      </c>
      <c r="I25" t="n">
        <v>5.9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2</v>
      </c>
      <c r="T25" t="n">
        <v>4</v>
      </c>
      <c r="U25" t="n">
        <v>4</v>
      </c>
      <c r="V25" s="2" t="inlineStr">
        <is>
          <t>Entita
Grönsångare</t>
        </is>
      </c>
      <c r="W25">
        <f>HYPERLINK("https://klasma.github.io/Logging_1267/artfynd/A 24597-2026 artfynd.xlsx", "A 24597-2026")</f>
        <v/>
      </c>
      <c r="X25">
        <f>HYPERLINK("https://klasma.github.io/Logging_1267/kartor/A 24597-2026 karta.png", "A 24597-2026")</f>
        <v/>
      </c>
      <c r="Y25">
        <f>HYPERLINK("https://klasma.github.io/Logging_1267/kartor_geotiff/A 24597-2026 georefererad karta.tif", "A 24597-2026")</f>
        <v/>
      </c>
      <c r="AA25">
        <f>HYPERLINK("https://klasma.github.io/Logging_1267/klagomål/A 24597-2026 FSC-klagomål.docx", "A 24597-2026")</f>
        <v/>
      </c>
      <c r="AB25">
        <f>HYPERLINK("https://klasma.github.io/Logging_1267/klagomålsmail/A 24597-2026 FSC-klagomål mail.docx", "A 24597-2026")</f>
        <v/>
      </c>
      <c r="AC25">
        <f>HYPERLINK("https://klasma.github.io/Logging_1267/tillsyn/A 24597-2026 tillsynsbegäran.docx", "A 24597-2026")</f>
        <v/>
      </c>
      <c r="AD25">
        <f>HYPERLINK("https://klasma.github.io/Logging_1267/tillsynsmail/A 24597-2026 tillsynsbegäran mail.docx", "A 24597-2026")</f>
        <v/>
      </c>
      <c r="AE25">
        <f>HYPERLINK("https://klasma.github.io/Logging_1267/fåglar/A 24597-2026 prioriterade fågelarter.docx", "A 24597-2026")</f>
        <v/>
      </c>
    </row>
    <row r="26" ht="15" customHeight="1">
      <c r="A26" t="inlineStr">
        <is>
          <t>A 33910-2026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46252</v>
      </c>
      <c r="E26" s="1" t="n">
        <v>46316</v>
      </c>
      <c r="F26" t="inlineStr">
        <is>
          <t>SKÅNE LÄN</t>
        </is>
      </c>
      <c r="G26" t="inlineStr">
        <is>
          <t>HÖÖR</t>
        </is>
      </c>
      <c r="I26" t="n">
        <v>9.199999999999999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</v>
      </c>
      <c r="T26" t="n">
        <v>2</v>
      </c>
      <c r="U26" t="n">
        <v>0</v>
      </c>
      <c r="V26" s="2" t="inlineStr">
        <is>
          <t>Fällmossa
Guldlockmossa</t>
        </is>
      </c>
      <c r="W26">
        <f>HYPERLINK("https://klasma.github.io/Logging_1267/artfynd/A 33910-2026 artfynd.xlsx", "A 33910-2026")</f>
        <v/>
      </c>
      <c r="X26">
        <f>HYPERLINK("https://klasma.github.io/Logging_1267/kartor/A 33910-2026 karta.png", "A 33910-2026")</f>
        <v/>
      </c>
      <c r="Y26">
        <f>HYPERLINK("https://klasma.github.io/Logging_1267/kartor_geotiff/A 33910-2026 georefererad karta.tif", "A 33910-2026")</f>
        <v/>
      </c>
      <c r="AA26">
        <f>HYPERLINK("https://klasma.github.io/Logging_1267/klagomål/A 33910-2026 FSC-klagomål.docx", "A 33910-2026")</f>
        <v/>
      </c>
      <c r="AB26">
        <f>HYPERLINK("https://klasma.github.io/Logging_1267/klagomålsmail/A 33910-2026 FSC-klagomål mail.docx", "A 33910-2026")</f>
        <v/>
      </c>
      <c r="AC26">
        <f>HYPERLINK("https://klasma.github.io/Logging_1267/tillsyn/A 33910-2026 tillsynsbegäran.docx", "A 33910-2026")</f>
        <v/>
      </c>
      <c r="AD26">
        <f>HYPERLINK("https://klasma.github.io/Logging_1267/tillsynsmail/A 33910-2026 tillsynsbegäran mail.docx", "A 33910-2026")</f>
        <v/>
      </c>
    </row>
    <row r="27" ht="15" customHeight="1">
      <c r="A27" t="inlineStr">
        <is>
          <t>S 8923-2021</t>
        </is>
      </c>
      <c r="B27" t="inlineStr">
        <is>
          <t>samrådsanmälan</t>
        </is>
      </c>
      <c r="C27" t="inlineStr">
        <is>
          <t>Askåterföring</t>
        </is>
      </c>
      <c r="D27" s="1" t="n">
        <v>44504</v>
      </c>
      <c r="E27" s="1" t="n">
        <v>46316</v>
      </c>
      <c r="F27" t="inlineStr">
        <is>
          <t>SKÅNE LÄN</t>
        </is>
      </c>
      <c r="G27" t="inlineStr">
        <is>
          <t>HÖÖR</t>
        </is>
      </c>
      <c r="I27" t="n">
        <v>16.9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2</v>
      </c>
      <c r="U27" t="n">
        <v>2</v>
      </c>
      <c r="V27" s="2" t="inlineStr">
        <is>
          <t>Kärrbräken
Ängskovall</t>
        </is>
      </c>
      <c r="W27">
        <f>HYPERLINK("https://klasma.github.io/Logging_1267/artfynd/S 8923-2021 artfynd.xlsx", "S 8923-2021")</f>
        <v/>
      </c>
      <c r="X27">
        <f>HYPERLINK("https://klasma.github.io/Logging_1267/kartor/S 8923-2021 karta.png", "S 8923-2021")</f>
        <v/>
      </c>
      <c r="Y27">
        <f>HYPERLINK("https://klasma.github.io/Logging_1267/kartor_geotiff/S 8923-2021 georefererad karta.tif", "S 8923-2021")</f>
        <v/>
      </c>
      <c r="AA27">
        <f>HYPERLINK("https://klasma.github.io/Logging_1267/klagomål/S 8923-2021 FSC-klagomål.docx", "S 8923-2021")</f>
        <v/>
      </c>
      <c r="AB27">
        <f>HYPERLINK("https://klasma.github.io/Logging_1267/klagomålsmail/S 8923-2021 FSC-klagomål mail.docx", "S 8923-2021")</f>
        <v/>
      </c>
      <c r="AC27">
        <f>HYPERLINK("https://klasma.github.io/Logging_1267/tillsyn/S 8923-2021 tillsynsbegäran.docx", "S 8923-2021")</f>
        <v/>
      </c>
      <c r="AD27">
        <f>HYPERLINK("https://klasma.github.io/Logging_1267/tillsynsmail/S 8923-2021 tillsynsbegäran mail.docx", "S 8923-2021")</f>
        <v/>
      </c>
    </row>
    <row r="28" ht="15" customHeight="1">
      <c r="A28" t="inlineStr">
        <is>
          <t>S 6042-2022</t>
        </is>
      </c>
      <c r="B28" t="inlineStr">
        <is>
          <t>samrådsanmälan</t>
        </is>
      </c>
      <c r="C28" t="inlineStr">
        <is>
          <t>Askåterföring</t>
        </is>
      </c>
      <c r="D28" s="1" t="n">
        <v>44860</v>
      </c>
      <c r="E28" s="1" t="n">
        <v>46316</v>
      </c>
      <c r="F28" t="inlineStr">
        <is>
          <t>SKÅNE LÄN</t>
        </is>
      </c>
      <c r="G28" t="inlineStr">
        <is>
          <t>HÖÖR</t>
        </is>
      </c>
      <c r="I28" t="n">
        <v>57.5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2</v>
      </c>
      <c r="T28" t="n">
        <v>2</v>
      </c>
      <c r="U28" t="n">
        <v>0</v>
      </c>
      <c r="V28" s="2" t="inlineStr">
        <is>
          <t>Slåttergubbe
Getlav</t>
        </is>
      </c>
      <c r="W28">
        <f>HYPERLINK("https://klasma.github.io/Logging_1267/artfynd/S 6042-2022 artfynd.xlsx", "S 6042-2022")</f>
        <v/>
      </c>
      <c r="X28">
        <f>HYPERLINK("https://klasma.github.io/Logging_1267/kartor/S 6042-2022 karta.png", "S 6042-2022")</f>
        <v/>
      </c>
      <c r="Y28">
        <f>HYPERLINK("https://klasma.github.io/Logging_1267/kartor_geotiff/S 6042-2022 georefererad karta.tif", "S 6042-2022")</f>
        <v/>
      </c>
      <c r="AA28">
        <f>HYPERLINK("https://klasma.github.io/Logging_1267/klagomål/S 6042-2022 FSC-klagomål.docx", "S 6042-2022")</f>
        <v/>
      </c>
      <c r="AB28">
        <f>HYPERLINK("https://klasma.github.io/Logging_1267/klagomålsmail/S 6042-2022 FSC-klagomål mail.docx", "S 6042-2022")</f>
        <v/>
      </c>
      <c r="AC28">
        <f>HYPERLINK("https://klasma.github.io/Logging_1267/tillsyn/S 6042-2022 tillsynsbegäran.docx", "S 6042-2022")</f>
        <v/>
      </c>
      <c r="AD28">
        <f>HYPERLINK("https://klasma.github.io/Logging_1267/tillsynsmail/S 6042-2022 tillsynsbegäran mail.docx", "S 6042-2022")</f>
        <v/>
      </c>
    </row>
    <row r="29" ht="15" customHeight="1">
      <c r="A29" t="inlineStr">
        <is>
          <t>A 18939-2022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44690</v>
      </c>
      <c r="E29" s="1" t="n">
        <v>46316</v>
      </c>
      <c r="F29" t="inlineStr">
        <is>
          <t>SKÅNE LÄN</t>
        </is>
      </c>
      <c r="G29" t="inlineStr">
        <is>
          <t>HÖÖR</t>
        </is>
      </c>
      <c r="I29" t="n">
        <v>1.5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s="2" t="inlineStr">
        <is>
          <t>Vätteros</t>
        </is>
      </c>
      <c r="W29">
        <f>HYPERLINK("https://klasma.github.io/Logging_1267/artfynd/A 18939-2022 artfynd.xlsx", "A 18939-2022")</f>
        <v/>
      </c>
      <c r="X29">
        <f>HYPERLINK("https://klasma.github.io/Logging_1267/kartor/A 18939-2022 karta.png", "A 18939-2022")</f>
        <v/>
      </c>
      <c r="Y29">
        <f>HYPERLINK("https://klasma.github.io/Logging_1267/kartor_geotiff/A 18939-2022 georefererad karta.tif", "A 18939-2022")</f>
        <v/>
      </c>
      <c r="AA29">
        <f>HYPERLINK("https://klasma.github.io/Logging_1267/klagomål/A 18939-2022 FSC-klagomål.docx", "A 18939-2022")</f>
        <v/>
      </c>
      <c r="AB29">
        <f>HYPERLINK("https://klasma.github.io/Logging_1267/klagomålsmail/A 18939-2022 FSC-klagomål mail.docx", "A 18939-2022")</f>
        <v/>
      </c>
      <c r="AC29">
        <f>HYPERLINK("https://klasma.github.io/Logging_1267/tillsyn/A 18939-2022 tillsynsbegäran.docx", "A 18939-2022")</f>
        <v/>
      </c>
      <c r="AD29">
        <f>HYPERLINK("https://klasma.github.io/Logging_1267/tillsynsmail/A 18939-2022 tillsynsbegäran mail.docx", "A 18939-2022")</f>
        <v/>
      </c>
    </row>
    <row r="30" ht="15" customHeight="1">
      <c r="A30" t="inlineStr">
        <is>
          <t>A 27233-2022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44741</v>
      </c>
      <c r="E30" s="1" t="n">
        <v>46316</v>
      </c>
      <c r="F30" t="inlineStr">
        <is>
          <t>SKÅNE LÄN</t>
        </is>
      </c>
      <c r="G30" t="inlineStr">
        <is>
          <t>HÖÖR</t>
        </is>
      </c>
      <c r="I30" t="n">
        <v>5.4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s="2" t="inlineStr">
        <is>
          <t>Igelkott</t>
        </is>
      </c>
      <c r="W30">
        <f>HYPERLINK("https://klasma.github.io/Logging_1267/artfynd/A 27233-2022 artfynd.xlsx", "A 27233-2022")</f>
        <v/>
      </c>
      <c r="X30">
        <f>HYPERLINK("https://klasma.github.io/Logging_1267/kartor/A 27233-2022 karta.png", "A 27233-2022")</f>
        <v/>
      </c>
      <c r="Y30">
        <f>HYPERLINK("https://klasma.github.io/Logging_1267/kartor_geotiff/A 27233-2022 georefererad karta.tif", "A 27233-2022")</f>
        <v/>
      </c>
      <c r="AA30">
        <f>HYPERLINK("https://klasma.github.io/Logging_1267/klagomål/A 27233-2022 FSC-klagomål.docx", "A 27233-2022")</f>
        <v/>
      </c>
      <c r="AB30">
        <f>HYPERLINK("https://klasma.github.io/Logging_1267/klagomålsmail/A 27233-2022 FSC-klagomål mail.docx", "A 27233-2022")</f>
        <v/>
      </c>
      <c r="AC30">
        <f>HYPERLINK("https://klasma.github.io/Logging_1267/tillsyn/A 27233-2022 tillsynsbegäran.docx", "A 27233-2022")</f>
        <v/>
      </c>
      <c r="AD30">
        <f>HYPERLINK("https://klasma.github.io/Logging_1267/tillsynsmail/A 27233-2022 tillsynsbegäran mail.docx", "A 27233-2022")</f>
        <v/>
      </c>
    </row>
    <row r="31" ht="15" customHeight="1">
      <c r="A31" t="inlineStr">
        <is>
          <t>A 42053-2023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45174</v>
      </c>
      <c r="E31" s="1" t="n">
        <v>46316</v>
      </c>
      <c r="F31" t="inlineStr">
        <is>
          <t>SKÅNE LÄN</t>
        </is>
      </c>
      <c r="G31" t="inlineStr">
        <is>
          <t>HÖÖR</t>
        </is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s="2" t="inlineStr">
        <is>
          <t>Småvänderot</t>
        </is>
      </c>
      <c r="W31">
        <f>HYPERLINK("https://klasma.github.io/Logging_1267/artfynd/A 42053-2023 artfynd.xlsx", "A 42053-2023")</f>
        <v/>
      </c>
      <c r="X31">
        <f>HYPERLINK("https://klasma.github.io/Logging_1267/kartor/A 42053-2023 karta.png", "A 42053-2023")</f>
        <v/>
      </c>
      <c r="Y31">
        <f>HYPERLINK("https://klasma.github.io/Logging_1267/kartor_geotiff/A 42053-2023 georefererad karta.tif", "A 42053-2023")</f>
        <v/>
      </c>
      <c r="AA31">
        <f>HYPERLINK("https://klasma.github.io/Logging_1267/klagomål/A 42053-2023 FSC-klagomål.docx", "A 42053-2023")</f>
        <v/>
      </c>
      <c r="AB31">
        <f>HYPERLINK("https://klasma.github.io/Logging_1267/klagomålsmail/A 42053-2023 FSC-klagomål mail.docx", "A 42053-2023")</f>
        <v/>
      </c>
      <c r="AC31">
        <f>HYPERLINK("https://klasma.github.io/Logging_1267/tillsyn/A 42053-2023 tillsynsbegäran.docx", "A 42053-2023")</f>
        <v/>
      </c>
      <c r="AD31">
        <f>HYPERLINK("https://klasma.github.io/Logging_1267/tillsynsmail/A 42053-2023 tillsynsbegäran mail.docx", "A 42053-2023")</f>
        <v/>
      </c>
    </row>
    <row r="32" ht="15" customHeight="1">
      <c r="A32" t="inlineStr">
        <is>
          <t>A 48926-2024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45594</v>
      </c>
      <c r="E32" s="1" t="n">
        <v>46316</v>
      </c>
      <c r="F32" t="inlineStr">
        <is>
          <t>SKÅNE LÄN</t>
        </is>
      </c>
      <c r="G32" t="inlineStr">
        <is>
          <t>HÖÖR</t>
        </is>
      </c>
      <c r="I32" t="n">
        <v>10.8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Småvänderot</t>
        </is>
      </c>
      <c r="W32">
        <f>HYPERLINK("https://klasma.github.io/Logging_1267/artfynd/A 48926-2024 artfynd.xlsx", "A 48926-2024")</f>
        <v/>
      </c>
      <c r="X32">
        <f>HYPERLINK("https://klasma.github.io/Logging_1267/kartor/A 48926-2024 karta.png", "A 48926-2024")</f>
        <v/>
      </c>
      <c r="Y32">
        <f>HYPERLINK("https://klasma.github.io/Logging_1267/kartor_geotiff/A 48926-2024 georefererad karta.tif", "A 48926-2024")</f>
        <v/>
      </c>
      <c r="AA32">
        <f>HYPERLINK("https://klasma.github.io/Logging_1267/klagomål/A 48926-2024 FSC-klagomål.docx", "A 48926-2024")</f>
        <v/>
      </c>
      <c r="AB32">
        <f>HYPERLINK("https://klasma.github.io/Logging_1267/klagomålsmail/A 48926-2024 FSC-klagomål mail.docx", "A 48926-2024")</f>
        <v/>
      </c>
      <c r="AC32">
        <f>HYPERLINK("https://klasma.github.io/Logging_1267/tillsyn/A 48926-2024 tillsynsbegäran.docx", "A 48926-2024")</f>
        <v/>
      </c>
      <c r="AD32">
        <f>HYPERLINK("https://klasma.github.io/Logging_1267/tillsynsmail/A 48926-2024 tillsynsbegäran mail.docx", "A 48926-2024")</f>
        <v/>
      </c>
    </row>
    <row r="33" ht="15" customHeight="1">
      <c r="A33" t="inlineStr">
        <is>
          <t>A 54753-2022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44883</v>
      </c>
      <c r="E33" s="1" t="n">
        <v>46316</v>
      </c>
      <c r="F33" t="inlineStr">
        <is>
          <t>SKÅNE LÄN</t>
        </is>
      </c>
      <c r="G33" t="inlineStr">
        <is>
          <t>HÖÖR</t>
        </is>
      </c>
      <c r="I33" t="n">
        <v>1.9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Revlummer</t>
        </is>
      </c>
      <c r="W33">
        <f>HYPERLINK("https://klasma.github.io/Logging_1267/artfynd/A 54753-2022 artfynd.xlsx", "A 54753-2022")</f>
        <v/>
      </c>
      <c r="X33">
        <f>HYPERLINK("https://klasma.github.io/Logging_1267/kartor/A 54753-2022 karta.png", "A 54753-2022")</f>
        <v/>
      </c>
      <c r="Y33">
        <f>HYPERLINK("https://klasma.github.io/Logging_1267/kartor_geotiff/A 54753-2022 georefererad karta.tif", "A 54753-2022")</f>
        <v/>
      </c>
      <c r="AA33">
        <f>HYPERLINK("https://klasma.github.io/Logging_1267/klagomål/A 54753-2022 FSC-klagomål.docx", "A 54753-2022")</f>
        <v/>
      </c>
      <c r="AB33">
        <f>HYPERLINK("https://klasma.github.io/Logging_1267/klagomålsmail/A 54753-2022 FSC-klagomål mail.docx", "A 54753-2022")</f>
        <v/>
      </c>
      <c r="AC33">
        <f>HYPERLINK("https://klasma.github.io/Logging_1267/tillsyn/A 54753-2022 tillsynsbegäran.docx", "A 54753-2022")</f>
        <v/>
      </c>
      <c r="AD33">
        <f>HYPERLINK("https://klasma.github.io/Logging_1267/tillsynsmail/A 54753-2022 tillsynsbegäran mail.docx", "A 54753-2022")</f>
        <v/>
      </c>
    </row>
    <row r="34" ht="15" customHeight="1">
      <c r="A34" t="inlineStr">
        <is>
          <t>A 3924-2024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45322</v>
      </c>
      <c r="E34" s="1" t="n">
        <v>46316</v>
      </c>
      <c r="F34" t="inlineStr">
        <is>
          <t>SKÅNE LÄN</t>
        </is>
      </c>
      <c r="G34" t="inlineStr">
        <is>
          <t>HÖÖR</t>
        </is>
      </c>
      <c r="I34" t="n">
        <v>1.2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s="2" t="inlineStr">
        <is>
          <t>Vitnoppa</t>
        </is>
      </c>
      <c r="W34">
        <f>HYPERLINK("https://klasma.github.io/Logging_1267/artfynd/A 3924-2024 artfynd.xlsx", "A 3924-2024")</f>
        <v/>
      </c>
      <c r="X34">
        <f>HYPERLINK("https://klasma.github.io/Logging_1267/kartor/A 3924-2024 karta.png", "A 3924-2024")</f>
        <v/>
      </c>
      <c r="Y34">
        <f>HYPERLINK("https://klasma.github.io/Logging_1267/kartor_geotiff/A 3924-2024 georefererad karta.tif", "A 3924-2024")</f>
        <v/>
      </c>
      <c r="AA34">
        <f>HYPERLINK("https://klasma.github.io/Logging_1267/klagomål/A 3924-2024 FSC-klagomål.docx", "A 3924-2024")</f>
        <v/>
      </c>
      <c r="AB34">
        <f>HYPERLINK("https://klasma.github.io/Logging_1267/klagomålsmail/A 3924-2024 FSC-klagomål mail.docx", "A 3924-2024")</f>
        <v/>
      </c>
      <c r="AC34">
        <f>HYPERLINK("https://klasma.github.io/Logging_1267/tillsyn/A 3924-2024 tillsynsbegäran.docx", "A 3924-2024")</f>
        <v/>
      </c>
      <c r="AD34">
        <f>HYPERLINK("https://klasma.github.io/Logging_1267/tillsynsmail/A 3924-2024 tillsynsbegäran mail.docx", "A 3924-2024")</f>
        <v/>
      </c>
    </row>
    <row r="35" ht="15" customHeight="1">
      <c r="A35" t="inlineStr">
        <is>
          <t>A 61007-2024</t>
        </is>
      </c>
      <c r="B35" t="inlineStr">
        <is>
          <t>avverkningsanmälan</t>
        </is>
      </c>
      <c r="C35" t="inlineStr">
        <is>
          <t>Avverkning för annat ändamål</t>
        </is>
      </c>
      <c r="D35" s="1" t="n">
        <v>45645</v>
      </c>
      <c r="E35" s="1" t="n">
        <v>46316</v>
      </c>
      <c r="F35" t="inlineStr">
        <is>
          <t>SKÅNE LÄN</t>
        </is>
      </c>
      <c r="G35" t="inlineStr">
        <is>
          <t>HÖÖR</t>
        </is>
      </c>
      <c r="H35" t="inlineStr">
        <is>
          <t>Kommuner</t>
        </is>
      </c>
      <c r="I35" t="n">
        <v>0.5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0</v>
      </c>
      <c r="V35" s="2" t="inlineStr">
        <is>
          <t>Kungsfiskare</t>
        </is>
      </c>
      <c r="W35">
        <f>HYPERLINK("https://klasma.github.io/Logging_1267/artfynd/A 61007-2024 artfynd.xlsx", "A 61007-2024")</f>
        <v/>
      </c>
      <c r="X35">
        <f>HYPERLINK("https://klasma.github.io/Logging_1267/kartor/A 61007-2024 karta.png", "A 61007-2024")</f>
        <v/>
      </c>
      <c r="Y35">
        <f>HYPERLINK("https://klasma.github.io/Logging_1267/kartor_geotiff/A 61007-2024 georefererad karta.tif", "A 61007-2024")</f>
        <v/>
      </c>
      <c r="AA35">
        <f>HYPERLINK("https://klasma.github.io/Logging_1267/klagomål/A 61007-2024 FSC-klagomål.docx", "A 61007-2024")</f>
        <v/>
      </c>
      <c r="AB35">
        <f>HYPERLINK("https://klasma.github.io/Logging_1267/klagomålsmail/A 61007-2024 FSC-klagomål mail.docx", "A 61007-2024")</f>
        <v/>
      </c>
      <c r="AC35">
        <f>HYPERLINK("https://klasma.github.io/Logging_1267/tillsyn/A 61007-2024 tillsynsbegäran.docx", "A 61007-2024")</f>
        <v/>
      </c>
      <c r="AD35">
        <f>HYPERLINK("https://klasma.github.io/Logging_1267/tillsynsmail/A 61007-2024 tillsynsbegäran mail.docx", "A 61007-2024")</f>
        <v/>
      </c>
    </row>
    <row r="36" ht="15" customHeight="1">
      <c r="A36" t="inlineStr">
        <is>
          <t>A 27902-2023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45098</v>
      </c>
      <c r="E36" s="1" t="n">
        <v>46316</v>
      </c>
      <c r="F36" t="inlineStr">
        <is>
          <t>SKÅNE LÄN</t>
        </is>
      </c>
      <c r="G36" t="inlineStr">
        <is>
          <t>HÖÖR</t>
        </is>
      </c>
      <c r="I36" t="n">
        <v>10.3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s="2" t="inlineStr">
        <is>
          <t>Skogsalm</t>
        </is>
      </c>
      <c r="W36">
        <f>HYPERLINK("https://klasma.github.io/Logging_1267/artfynd/A 27902-2023 artfynd.xlsx", "A 27902-2023")</f>
        <v/>
      </c>
      <c r="X36">
        <f>HYPERLINK("https://klasma.github.io/Logging_1267/kartor/A 27902-2023 karta.png", "A 27902-2023")</f>
        <v/>
      </c>
      <c r="Y36">
        <f>HYPERLINK("https://klasma.github.io/Logging_1267/kartor_geotiff/A 27902-2023 georefererad karta.tif", "A 27902-2023")</f>
        <v/>
      </c>
      <c r="AA36">
        <f>HYPERLINK("https://klasma.github.io/Logging_1267/klagomål/A 27902-2023 FSC-klagomål.docx", "A 27902-2023")</f>
        <v/>
      </c>
      <c r="AB36">
        <f>HYPERLINK("https://klasma.github.io/Logging_1267/klagomålsmail/A 27902-2023 FSC-klagomål mail.docx", "A 27902-2023")</f>
        <v/>
      </c>
      <c r="AC36">
        <f>HYPERLINK("https://klasma.github.io/Logging_1267/tillsyn/A 27902-2023 tillsynsbegäran.docx", "A 27902-2023")</f>
        <v/>
      </c>
      <c r="AD36">
        <f>HYPERLINK("https://klasma.github.io/Logging_1267/tillsynsmail/A 27902-2023 tillsynsbegäran mail.docx", "A 27902-2023")</f>
        <v/>
      </c>
    </row>
    <row r="37" ht="15" customHeight="1">
      <c r="A37" t="inlineStr">
        <is>
          <t>A 18348-2022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44685</v>
      </c>
      <c r="E37" s="1" t="n">
        <v>46316</v>
      </c>
      <c r="F37" t="inlineStr">
        <is>
          <t>SKÅNE LÄN</t>
        </is>
      </c>
      <c r="G37" t="inlineStr">
        <is>
          <t>HÖÖR</t>
        </is>
      </c>
      <c r="H37" t="inlineStr">
        <is>
          <t>Sveaskog</t>
        </is>
      </c>
      <c r="I37" t="n">
        <v>0.7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Klotullört</t>
        </is>
      </c>
      <c r="W37">
        <f>HYPERLINK("https://klasma.github.io/Logging_1267/artfynd/A 18348-2022 artfynd.xlsx", "A 18348-2022")</f>
        <v/>
      </c>
      <c r="X37">
        <f>HYPERLINK("https://klasma.github.io/Logging_1267/kartor/A 18348-2022 karta.png", "A 18348-2022")</f>
        <v/>
      </c>
      <c r="Y37">
        <f>HYPERLINK("https://klasma.github.io/Logging_1267/kartor_geotiff/A 18348-2022 georefererad karta.tif", "A 18348-2022")</f>
        <v/>
      </c>
      <c r="AA37">
        <f>HYPERLINK("https://klasma.github.io/Logging_1267/klagomål/A 18348-2022 FSC-klagomål.docx", "A 18348-2022")</f>
        <v/>
      </c>
      <c r="AB37">
        <f>HYPERLINK("https://klasma.github.io/Logging_1267/klagomålsmail/A 18348-2022 FSC-klagomål mail.docx", "A 18348-2022")</f>
        <v/>
      </c>
      <c r="AC37">
        <f>HYPERLINK("https://klasma.github.io/Logging_1267/tillsyn/A 18348-2022 tillsynsbegäran.docx", "A 18348-2022")</f>
        <v/>
      </c>
      <c r="AD37">
        <f>HYPERLINK("https://klasma.github.io/Logging_1267/tillsynsmail/A 18348-2022 tillsynsbegäran mail.docx", "A 18348-2022")</f>
        <v/>
      </c>
    </row>
    <row r="38" ht="15" customHeight="1">
      <c r="A38" t="inlineStr">
        <is>
          <t>A 13429-2023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45005</v>
      </c>
      <c r="E38" s="1" t="n">
        <v>46316</v>
      </c>
      <c r="F38" t="inlineStr">
        <is>
          <t>SKÅNE LÄN</t>
        </is>
      </c>
      <c r="G38" t="inlineStr">
        <is>
          <t>HÖÖR</t>
        </is>
      </c>
      <c r="I38" t="n">
        <v>0.3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Skogsbräsma</t>
        </is>
      </c>
      <c r="W38">
        <f>HYPERLINK("https://klasma.github.io/Logging_1267/artfynd/A 13429-2023 artfynd.xlsx", "A 13429-2023")</f>
        <v/>
      </c>
      <c r="X38">
        <f>HYPERLINK("https://klasma.github.io/Logging_1267/kartor/A 13429-2023 karta.png", "A 13429-2023")</f>
        <v/>
      </c>
      <c r="Y38">
        <f>HYPERLINK("https://klasma.github.io/Logging_1267/kartor_geotiff/A 13429-2023 georefererad karta.tif", "A 13429-2023")</f>
        <v/>
      </c>
      <c r="AA38">
        <f>HYPERLINK("https://klasma.github.io/Logging_1267/klagomål/A 13429-2023 FSC-klagomål.docx", "A 13429-2023")</f>
        <v/>
      </c>
      <c r="AB38">
        <f>HYPERLINK("https://klasma.github.io/Logging_1267/klagomålsmail/A 13429-2023 FSC-klagomål mail.docx", "A 13429-2023")</f>
        <v/>
      </c>
      <c r="AC38">
        <f>HYPERLINK("https://klasma.github.io/Logging_1267/tillsyn/A 13429-2023 tillsynsbegäran.docx", "A 13429-2023")</f>
        <v/>
      </c>
      <c r="AD38">
        <f>HYPERLINK("https://klasma.github.io/Logging_1267/tillsynsmail/A 13429-2023 tillsynsbegäran mail.docx", "A 13429-2023")</f>
        <v/>
      </c>
    </row>
    <row r="39" ht="15" customHeight="1">
      <c r="A39" t="inlineStr">
        <is>
          <t>A 34500-2026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46255</v>
      </c>
      <c r="E39" s="1" t="n">
        <v>46316</v>
      </c>
      <c r="F39" t="inlineStr">
        <is>
          <t>SKÅNE LÄN</t>
        </is>
      </c>
      <c r="G39" t="inlineStr">
        <is>
          <t>HÖÖR</t>
        </is>
      </c>
      <c r="I39" t="n">
        <v>2.1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s="2" t="inlineStr">
        <is>
          <t>Revlummer</t>
        </is>
      </c>
      <c r="W39">
        <f>HYPERLINK("https://klasma.github.io/Logging_1267/artfynd/A 34500-2026 artfynd.xlsx", "A 34500-2026")</f>
        <v/>
      </c>
      <c r="X39">
        <f>HYPERLINK("https://klasma.github.io/Logging_1267/kartor/A 34500-2026 karta.png", "A 34500-2026")</f>
        <v/>
      </c>
      <c r="Y39">
        <f>HYPERLINK("https://klasma.github.io/Logging_1267/kartor_geotiff/A 34500-2026 georefererad karta.tif", "A 34500-2026")</f>
        <v/>
      </c>
      <c r="AA39">
        <f>HYPERLINK("https://klasma.github.io/Logging_1267/klagomål/A 34500-2026 FSC-klagomål.docx", "A 34500-2026")</f>
        <v/>
      </c>
      <c r="AB39">
        <f>HYPERLINK("https://klasma.github.io/Logging_1267/klagomålsmail/A 34500-2026 FSC-klagomål mail.docx", "A 34500-2026")</f>
        <v/>
      </c>
      <c r="AC39">
        <f>HYPERLINK("https://klasma.github.io/Logging_1267/tillsyn/A 34500-2026 tillsynsbegäran.docx", "A 34500-2026")</f>
        <v/>
      </c>
      <c r="AD39">
        <f>HYPERLINK("https://klasma.github.io/Logging_1267/tillsynsmail/A 34500-2026 tillsynsbegäran mail.docx", "A 34500-2026")</f>
        <v/>
      </c>
    </row>
    <row r="40" ht="15" customHeight="1">
      <c r="A40" t="inlineStr">
        <is>
          <t>A 53956-2023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45231</v>
      </c>
      <c r="E40" s="1" t="n">
        <v>46316</v>
      </c>
      <c r="F40" t="inlineStr">
        <is>
          <t>SKÅNE LÄN</t>
        </is>
      </c>
      <c r="G40" t="inlineStr">
        <is>
          <t>HÖÖR</t>
        </is>
      </c>
      <c r="I40" t="n">
        <v>0.4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Ängskovall</t>
        </is>
      </c>
      <c r="W40">
        <f>HYPERLINK("https://klasma.github.io/Logging_1267/artfynd/A 53956-2023 artfynd.xlsx", "A 53956-2023")</f>
        <v/>
      </c>
      <c r="X40">
        <f>HYPERLINK("https://klasma.github.io/Logging_1267/kartor/A 53956-2023 karta.png", "A 53956-2023")</f>
        <v/>
      </c>
      <c r="Y40">
        <f>HYPERLINK("https://klasma.github.io/Logging_1267/kartor_geotiff/A 53956-2023 georefererad karta.tif", "A 53956-2023")</f>
        <v/>
      </c>
      <c r="AA40">
        <f>HYPERLINK("https://klasma.github.io/Logging_1267/klagomål/A 53956-2023 FSC-klagomål.docx", "A 53956-2023")</f>
        <v/>
      </c>
      <c r="AB40">
        <f>HYPERLINK("https://klasma.github.io/Logging_1267/klagomålsmail/A 53956-2023 FSC-klagomål mail.docx", "A 53956-2023")</f>
        <v/>
      </c>
      <c r="AC40">
        <f>HYPERLINK("https://klasma.github.io/Logging_1267/tillsyn/A 53956-2023 tillsynsbegäran.docx", "A 53956-2023")</f>
        <v/>
      </c>
      <c r="AD40">
        <f>HYPERLINK("https://klasma.github.io/Logging_1267/tillsynsmail/A 53956-2023 tillsynsbegäran mail.docx", "A 53956-2023")</f>
        <v/>
      </c>
    </row>
    <row r="41" ht="15" customHeight="1">
      <c r="A41" t="inlineStr">
        <is>
          <t>A 40493-2026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46295</v>
      </c>
      <c r="E41" s="1" t="n">
        <v>46316</v>
      </c>
      <c r="F41" t="inlineStr">
        <is>
          <t>SKÅNE LÄN</t>
        </is>
      </c>
      <c r="G41" t="inlineStr">
        <is>
          <t>HÖÖR</t>
        </is>
      </c>
      <c r="I41" t="n">
        <v>2.8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Kransrams</t>
        </is>
      </c>
      <c r="W41">
        <f>HYPERLINK("https://klasma.github.io/Logging_1267/artfynd/A 40493-2026 artfynd.xlsx", "A 40493-2026")</f>
        <v/>
      </c>
      <c r="X41">
        <f>HYPERLINK("https://klasma.github.io/Logging_1267/kartor/A 40493-2026 karta.png", "A 40493-2026")</f>
        <v/>
      </c>
      <c r="Y41">
        <f>HYPERLINK("https://klasma.github.io/Logging_1267/kartor_geotiff/A 40493-2026 georefererad karta.tif", "A 40493-2026")</f>
        <v/>
      </c>
      <c r="AA41">
        <f>HYPERLINK("https://klasma.github.io/Logging_1267/klagomål/A 40493-2026 FSC-klagomål.docx", "A 40493-2026")</f>
        <v/>
      </c>
      <c r="AB41">
        <f>HYPERLINK("https://klasma.github.io/Logging_1267/klagomålsmail/A 40493-2026 FSC-klagomål mail.docx", "A 40493-2026")</f>
        <v/>
      </c>
      <c r="AC41">
        <f>HYPERLINK("https://klasma.github.io/Logging_1267/tillsyn/A 40493-2026 tillsynsbegäran.docx", "A 40493-2026")</f>
        <v/>
      </c>
      <c r="AD41">
        <f>HYPERLINK("https://klasma.github.io/Logging_1267/tillsynsmail/A 40493-2026 tillsynsbegäran mail.docx", "A 40493-2026")</f>
        <v/>
      </c>
    </row>
    <row r="42" ht="15" customHeight="1">
      <c r="A42" t="inlineStr">
        <is>
          <t>A 22569-2024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45447</v>
      </c>
      <c r="E42" s="1" t="n">
        <v>46316</v>
      </c>
      <c r="F42" t="inlineStr">
        <is>
          <t>SKÅNE LÄN</t>
        </is>
      </c>
      <c r="G42" t="inlineStr">
        <is>
          <t>HÖÖR</t>
        </is>
      </c>
      <c r="I42" t="n">
        <v>2.2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Spillkråka</t>
        </is>
      </c>
      <c r="W42">
        <f>HYPERLINK("https://klasma.github.io/Logging_1267/artfynd/A 22569-2024 artfynd.xlsx", "A 22569-2024")</f>
        <v/>
      </c>
      <c r="X42">
        <f>HYPERLINK("https://klasma.github.io/Logging_1267/kartor/A 22569-2024 karta.png", "A 22569-2024")</f>
        <v/>
      </c>
      <c r="Y42">
        <f>HYPERLINK("https://klasma.github.io/Logging_1267/kartor_geotiff/A 22569-2024 georefererad karta.tif", "A 22569-2024")</f>
        <v/>
      </c>
      <c r="AA42">
        <f>HYPERLINK("https://klasma.github.io/Logging_1267/klagomål/A 22569-2024 FSC-klagomål.docx", "A 22569-2024")</f>
        <v/>
      </c>
      <c r="AB42">
        <f>HYPERLINK("https://klasma.github.io/Logging_1267/klagomålsmail/A 22569-2024 FSC-klagomål mail.docx", "A 22569-2024")</f>
        <v/>
      </c>
      <c r="AC42">
        <f>HYPERLINK("https://klasma.github.io/Logging_1267/tillsyn/A 22569-2024 tillsynsbegäran.docx", "A 22569-2024")</f>
        <v/>
      </c>
      <c r="AD42">
        <f>HYPERLINK("https://klasma.github.io/Logging_1267/tillsynsmail/A 22569-2024 tillsynsbegäran mail.docx", "A 22569-2024")</f>
        <v/>
      </c>
      <c r="AE42">
        <f>HYPERLINK("https://klasma.github.io/Logging_1267/fåglar/A 22569-2024 prioriterade fågelarter.docx", "A 22569-2024")</f>
        <v/>
      </c>
    </row>
    <row r="43" ht="15" customHeight="1">
      <c r="A43" t="inlineStr">
        <is>
          <t>S 8915-2021</t>
        </is>
      </c>
      <c r="B43" t="inlineStr">
        <is>
          <t>samrådsanmälan</t>
        </is>
      </c>
      <c r="C43" t="inlineStr">
        <is>
          <t>Askåterföring</t>
        </is>
      </c>
      <c r="D43" s="1" t="n">
        <v>44504</v>
      </c>
      <c r="E43" s="1" t="n">
        <v>46316</v>
      </c>
      <c r="F43" t="inlineStr">
        <is>
          <t>SKÅNE LÄN</t>
        </is>
      </c>
      <c r="G43" t="inlineStr">
        <is>
          <t>HÖÖR</t>
        </is>
      </c>
      <c r="I43" t="n">
        <v>37.2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Revlummer</t>
        </is>
      </c>
      <c r="W43">
        <f>HYPERLINK("https://klasma.github.io/Logging_1267/artfynd/S 8915-2021 artfynd.xlsx", "S 8915-2021")</f>
        <v/>
      </c>
      <c r="X43">
        <f>HYPERLINK("https://klasma.github.io/Logging_1267/kartor/S 8915-2021 karta.png", "S 8915-2021")</f>
        <v/>
      </c>
      <c r="Y43">
        <f>HYPERLINK("https://klasma.github.io/Logging_1267/kartor_geotiff/S 8915-2021 georefererad karta.tif", "S 8915-2021")</f>
        <v/>
      </c>
      <c r="AA43">
        <f>HYPERLINK("https://klasma.github.io/Logging_1267/klagomål/S 8915-2021 FSC-klagomål.docx", "S 8915-2021")</f>
        <v/>
      </c>
      <c r="AB43">
        <f>HYPERLINK("https://klasma.github.io/Logging_1267/klagomålsmail/S 8915-2021 FSC-klagomål mail.docx", "S 8915-2021")</f>
        <v/>
      </c>
      <c r="AC43">
        <f>HYPERLINK("https://klasma.github.io/Logging_1267/tillsyn/S 8915-2021 tillsynsbegäran.docx", "S 8915-2021")</f>
        <v/>
      </c>
      <c r="AD43">
        <f>HYPERLINK("https://klasma.github.io/Logging_1267/tillsynsmail/S 8915-2021 tillsynsbegäran mail.docx", "S 8915-2021")</f>
        <v/>
      </c>
    </row>
    <row r="44" ht="15" customHeight="1">
      <c r="A44" t="inlineStr">
        <is>
          <t>S 5973-2022</t>
        </is>
      </c>
      <c r="B44" t="inlineStr">
        <is>
          <t>samrådsanmälan</t>
        </is>
      </c>
      <c r="C44" t="inlineStr">
        <is>
          <t>Askåterföring</t>
        </is>
      </c>
      <c r="D44" s="1" t="n">
        <v>44858</v>
      </c>
      <c r="E44" s="1" t="n">
        <v>46316</v>
      </c>
      <c r="F44" t="inlineStr">
        <is>
          <t>SKÅNE LÄN</t>
        </is>
      </c>
      <c r="G44" t="inlineStr">
        <is>
          <t>HÖÖR</t>
        </is>
      </c>
      <c r="I44" t="n">
        <v>15.5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Grönvit nattviol</t>
        </is>
      </c>
      <c r="W44">
        <f>HYPERLINK("https://klasma.github.io/Logging_1267/artfynd/S 5973-2022 artfynd.xlsx", "S 5973-2022")</f>
        <v/>
      </c>
      <c r="X44">
        <f>HYPERLINK("https://klasma.github.io/Logging_1267/kartor/S 5973-2022 karta.png", "S 5973-2022")</f>
        <v/>
      </c>
      <c r="Y44">
        <f>HYPERLINK("https://klasma.github.io/Logging_1267/kartor_geotiff/S 5973-2022 georefererad karta.tif", "S 5973-2022")</f>
        <v/>
      </c>
      <c r="AA44">
        <f>HYPERLINK("https://klasma.github.io/Logging_1267/klagomål/S 5973-2022 FSC-klagomål.docx", "S 5973-2022")</f>
        <v/>
      </c>
      <c r="AB44">
        <f>HYPERLINK("https://klasma.github.io/Logging_1267/klagomålsmail/S 5973-2022 FSC-klagomål mail.docx", "S 5973-2022")</f>
        <v/>
      </c>
      <c r="AC44">
        <f>HYPERLINK("https://klasma.github.io/Logging_1267/tillsyn/S 5973-2022 tillsynsbegäran.docx", "S 5973-2022")</f>
        <v/>
      </c>
      <c r="AD44">
        <f>HYPERLINK("https://klasma.github.io/Logging_1267/tillsynsmail/S 5973-2022 tillsynsbegäran mail.docx", "S 5973-2022")</f>
        <v/>
      </c>
    </row>
    <row r="45" ht="15" customHeight="1">
      <c r="A45" t="inlineStr">
        <is>
          <t>S 2339-2022</t>
        </is>
      </c>
      <c r="B45" t="inlineStr">
        <is>
          <t>samrådsanmälan</t>
        </is>
      </c>
      <c r="C45" t="inlineStr">
        <is>
          <t>Askåterföring</t>
        </is>
      </c>
      <c r="D45" s="1" t="n">
        <v>44686</v>
      </c>
      <c r="E45" s="1" t="n">
        <v>46316</v>
      </c>
      <c r="F45" t="inlineStr">
        <is>
          <t>SKÅNE LÄN</t>
        </is>
      </c>
      <c r="G45" t="inlineStr">
        <is>
          <t>HÖÖR</t>
        </is>
      </c>
      <c r="I45" t="n">
        <v>20.3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s="2" t="inlineStr">
        <is>
          <t>Småvänderot</t>
        </is>
      </c>
      <c r="W45">
        <f>HYPERLINK("https://klasma.github.io/Logging_1267/artfynd/S 2339-2022 artfynd.xlsx", "S 2339-2022")</f>
        <v/>
      </c>
      <c r="X45">
        <f>HYPERLINK("https://klasma.github.io/Logging_1267/kartor/S 2339-2022 karta.png", "S 2339-2022")</f>
        <v/>
      </c>
      <c r="Y45">
        <f>HYPERLINK("https://klasma.github.io/Logging_1267/kartor_geotiff/S 2339-2022 georefererad karta.tif", "S 2339-2022")</f>
        <v/>
      </c>
      <c r="AA45">
        <f>HYPERLINK("https://klasma.github.io/Logging_1267/klagomål/S 2339-2022 FSC-klagomål.docx", "S 2339-2022")</f>
        <v/>
      </c>
      <c r="AB45">
        <f>HYPERLINK("https://klasma.github.io/Logging_1267/klagomålsmail/S 2339-2022 FSC-klagomål mail.docx", "S 2339-2022")</f>
        <v/>
      </c>
      <c r="AC45">
        <f>HYPERLINK("https://klasma.github.io/Logging_1267/tillsyn/S 2339-2022 tillsynsbegäran.docx", "S 2339-2022")</f>
        <v/>
      </c>
      <c r="AD45">
        <f>HYPERLINK("https://klasma.github.io/Logging_1267/tillsynsmail/S 2339-2022 tillsynsbegäran mail.docx", "S 2339-2022")</f>
        <v/>
      </c>
    </row>
    <row r="46" ht="15" customHeight="1">
      <c r="A46" t="inlineStr">
        <is>
          <t>S 309-2025</t>
        </is>
      </c>
      <c r="B46" t="inlineStr">
        <is>
          <t>samrådsanmälan</t>
        </is>
      </c>
      <c r="C46" t="inlineStr">
        <is>
          <t>Askåterföring</t>
        </is>
      </c>
      <c r="D46" s="1" t="n">
        <v>45688</v>
      </c>
      <c r="E46" s="1" t="n">
        <v>46316</v>
      </c>
      <c r="F46" t="inlineStr">
        <is>
          <t>SKÅNE LÄN</t>
        </is>
      </c>
      <c r="G46" t="inlineStr">
        <is>
          <t>HÖÖR</t>
        </is>
      </c>
      <c r="I46" t="n">
        <v>7.5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Skogsbräsma</t>
        </is>
      </c>
      <c r="W46">
        <f>HYPERLINK("https://klasma.github.io/Logging_1267/artfynd/S 309-2025 artfynd.xlsx", "S 309-2025")</f>
        <v/>
      </c>
      <c r="X46">
        <f>HYPERLINK("https://klasma.github.io/Logging_1267/kartor/S 309-2025 karta.png", "S 309-2025")</f>
        <v/>
      </c>
      <c r="Y46">
        <f>HYPERLINK("https://klasma.github.io/Logging_1267/kartor_geotiff/S 309-2025 georefererad karta.tif", "S 309-2025")</f>
        <v/>
      </c>
      <c r="AA46">
        <f>HYPERLINK("https://klasma.github.io/Logging_1267/klagomål/S 309-2025 FSC-klagomål.docx", "S 309-2025")</f>
        <v/>
      </c>
      <c r="AB46">
        <f>HYPERLINK("https://klasma.github.io/Logging_1267/klagomålsmail/S 309-2025 FSC-klagomål mail.docx", "S 309-2025")</f>
        <v/>
      </c>
      <c r="AC46">
        <f>HYPERLINK("https://klasma.github.io/Logging_1267/tillsyn/S 309-2025 tillsynsbegäran.docx", "S 309-2025")</f>
        <v/>
      </c>
      <c r="AD46">
        <f>HYPERLINK("https://klasma.github.io/Logging_1267/tillsynsmail/S 309-2025 tillsynsbegäran mail.docx", "S 309-2025")</f>
        <v/>
      </c>
    </row>
    <row r="47" ht="15" customHeight="1">
      <c r="A47" t="inlineStr">
        <is>
          <t>S 791-2025</t>
        </is>
      </c>
      <c r="B47" t="inlineStr">
        <is>
          <t>samrådsanmälan</t>
        </is>
      </c>
      <c r="C47" t="inlineStr">
        <is>
          <t>Askåterföring</t>
        </is>
      </c>
      <c r="D47" s="1" t="n">
        <v>45729</v>
      </c>
      <c r="E47" s="1" t="n">
        <v>46316</v>
      </c>
      <c r="F47" t="inlineStr">
        <is>
          <t>SKÅNE LÄN</t>
        </is>
      </c>
      <c r="G47" t="inlineStr">
        <is>
          <t>HÖÖR</t>
        </is>
      </c>
      <c r="I47" t="n">
        <v>23.6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1</v>
      </c>
      <c r="U47" t="n">
        <v>1</v>
      </c>
      <c r="V47" s="2" t="inlineStr">
        <is>
          <t>Gullpudra</t>
        </is>
      </c>
      <c r="W47">
        <f>HYPERLINK("https://klasma.github.io/Logging_1267/artfynd/S 791-2025 artfynd.xlsx", "S 791-2025")</f>
        <v/>
      </c>
      <c r="X47">
        <f>HYPERLINK("https://klasma.github.io/Logging_1267/kartor/S 791-2025 karta.png", "S 791-2025")</f>
        <v/>
      </c>
      <c r="Y47">
        <f>HYPERLINK("https://klasma.github.io/Logging_1267/kartor_geotiff/S 791-2025 georefererad karta.tif", "S 791-2025")</f>
        <v/>
      </c>
      <c r="AA47">
        <f>HYPERLINK("https://klasma.github.io/Logging_1267/klagomål/S 791-2025 FSC-klagomål.docx", "S 791-2025")</f>
        <v/>
      </c>
      <c r="AB47">
        <f>HYPERLINK("https://klasma.github.io/Logging_1267/klagomålsmail/S 791-2025 FSC-klagomål mail.docx", "S 791-2025")</f>
        <v/>
      </c>
      <c r="AC47">
        <f>HYPERLINK("https://klasma.github.io/Logging_1267/tillsyn/S 791-2025 tillsynsbegäran.docx", "S 791-2025")</f>
        <v/>
      </c>
      <c r="AD47">
        <f>HYPERLINK("https://klasma.github.io/Logging_1267/tillsynsmail/S 791-2025 tillsynsbegäran mail.docx", "S 791-2025")</f>
        <v/>
      </c>
    </row>
    <row r="48" ht="15" customHeight="1">
      <c r="A48" t="inlineStr">
        <is>
          <t>S 4216-2023</t>
        </is>
      </c>
      <c r="B48" t="inlineStr">
        <is>
          <t>samrådsanmälan</t>
        </is>
      </c>
      <c r="C48" t="inlineStr">
        <is>
          <t>Askåterföring</t>
        </is>
      </c>
      <c r="D48" s="1" t="n">
        <v>45251</v>
      </c>
      <c r="E48" s="1" t="n">
        <v>46316</v>
      </c>
      <c r="F48" t="inlineStr">
        <is>
          <t>SKÅNE LÄN</t>
        </is>
      </c>
      <c r="G48" t="inlineStr">
        <is>
          <t>HÖÖR</t>
        </is>
      </c>
      <c r="I48" t="n">
        <v>70.3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s="2" t="inlineStr">
        <is>
          <t>Småvänderot</t>
        </is>
      </c>
      <c r="W48">
        <f>HYPERLINK("https://klasma.github.io/Logging_1267/artfynd/S 4216-2023 artfynd.xlsx", "S 4216-2023")</f>
        <v/>
      </c>
      <c r="X48">
        <f>HYPERLINK("https://klasma.github.io/Logging_1267/kartor/S 4216-2023 karta.png", "S 4216-2023")</f>
        <v/>
      </c>
      <c r="Y48">
        <f>HYPERLINK("https://klasma.github.io/Logging_1267/kartor_geotiff/S 4216-2023 georefererad karta.tif", "S 4216-2023")</f>
        <v/>
      </c>
      <c r="AA48">
        <f>HYPERLINK("https://klasma.github.io/Logging_1267/klagomål/S 4216-2023 FSC-klagomål.docx", "S 4216-2023")</f>
        <v/>
      </c>
      <c r="AB48">
        <f>HYPERLINK("https://klasma.github.io/Logging_1267/klagomålsmail/S 4216-2023 FSC-klagomål mail.docx", "S 4216-2023")</f>
        <v/>
      </c>
      <c r="AC48">
        <f>HYPERLINK("https://klasma.github.io/Logging_1267/tillsyn/S 4216-2023 tillsynsbegäran.docx", "S 4216-2023")</f>
        <v/>
      </c>
      <c r="AD48">
        <f>HYPERLINK("https://klasma.github.io/Logging_1267/tillsynsmail/S 4216-2023 tillsynsbegäran mail.docx", "S 4216-2023")</f>
        <v/>
      </c>
    </row>
    <row r="49" ht="15" customHeight="1">
      <c r="A49" t="inlineStr">
        <is>
          <t>A 54563-2022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44882</v>
      </c>
      <c r="E49" s="1" t="n">
        <v>46316</v>
      </c>
      <c r="F49" t="inlineStr">
        <is>
          <t>SKÅNE LÄN</t>
        </is>
      </c>
      <c r="G49" t="inlineStr">
        <is>
          <t>HÖÖR</t>
        </is>
      </c>
      <c r="I49" t="n">
        <v>0.8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54738-2022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44883</v>
      </c>
      <c r="E50" s="1" t="n">
        <v>46316</v>
      </c>
      <c r="F50" t="inlineStr">
        <is>
          <t>SKÅNE LÄN</t>
        </is>
      </c>
      <c r="G50" t="inlineStr">
        <is>
          <t>HÖÖR</t>
        </is>
      </c>
      <c r="I50" t="n">
        <v>0.4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70982-2021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44538</v>
      </c>
      <c r="E51" s="1" t="n">
        <v>46316</v>
      </c>
      <c r="F51" t="inlineStr">
        <is>
          <t>SKÅNE LÄN</t>
        </is>
      </c>
      <c r="G51" t="inlineStr">
        <is>
          <t>HÖÖR</t>
        </is>
      </c>
      <c r="I51" t="n">
        <v>1.7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5726-2022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44596</v>
      </c>
      <c r="E52" s="1" t="n">
        <v>46316</v>
      </c>
      <c r="F52" t="inlineStr">
        <is>
          <t>SKÅNE LÄN</t>
        </is>
      </c>
      <c r="G52" t="inlineStr">
        <is>
          <t>HÖÖR</t>
        </is>
      </c>
      <c r="I52" t="n">
        <v>1.5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65203-2021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44515</v>
      </c>
      <c r="E53" s="1" t="n">
        <v>46316</v>
      </c>
      <c r="F53" t="inlineStr">
        <is>
          <t>SKÅNE LÄN</t>
        </is>
      </c>
      <c r="G53" t="inlineStr">
        <is>
          <t>HÖÖR</t>
        </is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6042-2022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44599</v>
      </c>
      <c r="E54" s="1" t="n">
        <v>46316</v>
      </c>
      <c r="F54" t="inlineStr">
        <is>
          <t>SKÅNE LÄN</t>
        </is>
      </c>
      <c r="G54" t="inlineStr">
        <is>
          <t>HÖÖR</t>
        </is>
      </c>
      <c r="I54" t="n">
        <v>1.8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3480-2022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44585</v>
      </c>
      <c r="E55" s="1" t="n">
        <v>46316</v>
      </c>
      <c r="F55" t="inlineStr">
        <is>
          <t>SKÅNE LÄN</t>
        </is>
      </c>
      <c r="G55" t="inlineStr">
        <is>
          <t>HÖÖR</t>
        </is>
      </c>
      <c r="I55" t="n">
        <v>1.8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35801-2024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45532</v>
      </c>
      <c r="E56" s="1" t="n">
        <v>46316</v>
      </c>
      <c r="F56" t="inlineStr">
        <is>
          <t>SKÅNE LÄN</t>
        </is>
      </c>
      <c r="G56" t="inlineStr">
        <is>
          <t>HÖÖR</t>
        </is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16110-2024</t>
        </is>
      </c>
      <c r="B57" t="inlineStr">
        <is>
          <t>avverkningsanmälan</t>
        </is>
      </c>
      <c r="C57" t="inlineStr">
        <is>
          <t>Avverkning för annat ändamål</t>
        </is>
      </c>
      <c r="D57" s="1" t="n">
        <v>45406</v>
      </c>
      <c r="E57" s="1" t="n">
        <v>46316</v>
      </c>
      <c r="F57" t="inlineStr">
        <is>
          <t>SKÅNE LÄN</t>
        </is>
      </c>
      <c r="G57" t="inlineStr">
        <is>
          <t>HÖÖR</t>
        </is>
      </c>
      <c r="I57" t="n">
        <v>0.6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10007-2022</t>
        </is>
      </c>
      <c r="B58" t="inlineStr">
        <is>
          <t>avverkningsanmälan</t>
        </is>
      </c>
      <c r="C58" t="inlineStr">
        <is>
          <t>Avverkning för annat ändamål</t>
        </is>
      </c>
      <c r="D58" s="1" t="n">
        <v>44621</v>
      </c>
      <c r="E58" s="1" t="n">
        <v>46316</v>
      </c>
      <c r="F58" t="inlineStr">
        <is>
          <t>SKÅNE LÄN</t>
        </is>
      </c>
      <c r="G58" t="inlineStr">
        <is>
          <t>HÖÖR</t>
        </is>
      </c>
      <c r="I58" t="n">
        <v>2.4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30087-2023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45110</v>
      </c>
      <c r="E59" s="1" t="n">
        <v>46316</v>
      </c>
      <c r="F59" t="inlineStr">
        <is>
          <t>SKÅNE LÄN</t>
        </is>
      </c>
      <c r="G59" t="inlineStr">
        <is>
          <t>HÖÖR</t>
        </is>
      </c>
      <c r="I59" t="n">
        <v>0.7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37675-2023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45159</v>
      </c>
      <c r="E60" s="1" t="n">
        <v>46316</v>
      </c>
      <c r="F60" t="inlineStr">
        <is>
          <t>SKÅNE LÄN</t>
        </is>
      </c>
      <c r="G60" t="inlineStr">
        <is>
          <t>HÖÖR</t>
        </is>
      </c>
      <c r="I60" t="n">
        <v>0.7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16434-2025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45751</v>
      </c>
      <c r="E61" s="1" t="n">
        <v>46316</v>
      </c>
      <c r="F61" t="inlineStr">
        <is>
          <t>SKÅNE LÄN</t>
        </is>
      </c>
      <c r="G61" t="inlineStr">
        <is>
          <t>HÖÖR</t>
        </is>
      </c>
      <c r="I61" t="n">
        <v>0.9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31092-2023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45113</v>
      </c>
      <c r="E62" s="1" t="n">
        <v>46316</v>
      </c>
      <c r="F62" t="inlineStr">
        <is>
          <t>SKÅNE LÄN</t>
        </is>
      </c>
      <c r="G62" t="inlineStr">
        <is>
          <t>HÖÖR</t>
        </is>
      </c>
      <c r="I62" t="n">
        <v>7.8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50250-2024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45600</v>
      </c>
      <c r="E63" s="1" t="n">
        <v>46316</v>
      </c>
      <c r="F63" t="inlineStr">
        <is>
          <t>SKÅNE LÄN</t>
        </is>
      </c>
      <c r="G63" t="inlineStr">
        <is>
          <t>HÖÖR</t>
        </is>
      </c>
      <c r="I63" t="n">
        <v>3.8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9466-2025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45715</v>
      </c>
      <c r="E64" s="1" t="n">
        <v>46316</v>
      </c>
      <c r="F64" t="inlineStr">
        <is>
          <t>SKÅNE LÄN</t>
        </is>
      </c>
      <c r="G64" t="inlineStr">
        <is>
          <t>HÖÖR</t>
        </is>
      </c>
      <c r="I64" t="n">
        <v>4.5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12028-2025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45728</v>
      </c>
      <c r="E65" s="1" t="n">
        <v>46316</v>
      </c>
      <c r="F65" t="inlineStr">
        <is>
          <t>SKÅNE LÄN</t>
        </is>
      </c>
      <c r="G65" t="inlineStr">
        <is>
          <t>HÖÖR</t>
        </is>
      </c>
      <c r="I65" t="n">
        <v>2.8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28385-2024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45477</v>
      </c>
      <c r="E66" s="1" t="n">
        <v>46316</v>
      </c>
      <c r="F66" t="inlineStr">
        <is>
          <t>SKÅNE LÄN</t>
        </is>
      </c>
      <c r="G66" t="inlineStr">
        <is>
          <t>HÖÖR</t>
        </is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23116-2025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45791</v>
      </c>
      <c r="E67" s="1" t="n">
        <v>46316</v>
      </c>
      <c r="F67" t="inlineStr">
        <is>
          <t>SKÅNE LÄN</t>
        </is>
      </c>
      <c r="G67" t="inlineStr">
        <is>
          <t>HÖÖR</t>
        </is>
      </c>
      <c r="I67" t="n">
        <v>1.5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61019-2024</t>
        </is>
      </c>
      <c r="B68" t="inlineStr">
        <is>
          <t>avverkningsanmälan</t>
        </is>
      </c>
      <c r="C68" t="inlineStr">
        <is>
          <t>Avverkning för annat ändamål</t>
        </is>
      </c>
      <c r="D68" s="1" t="n">
        <v>45645</v>
      </c>
      <c r="E68" s="1" t="n">
        <v>46316</v>
      </c>
      <c r="F68" t="inlineStr">
        <is>
          <t>SKÅNE LÄN</t>
        </is>
      </c>
      <c r="G68" t="inlineStr">
        <is>
          <t>HÖÖR</t>
        </is>
      </c>
      <c r="H68" t="inlineStr">
        <is>
          <t>Kommuner</t>
        </is>
      </c>
      <c r="I68" t="n">
        <v>2.2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47136-2022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44848</v>
      </c>
      <c r="E69" s="1" t="n">
        <v>46316</v>
      </c>
      <c r="F69" t="inlineStr">
        <is>
          <t>SKÅNE LÄN</t>
        </is>
      </c>
      <c r="G69" t="inlineStr">
        <is>
          <t>HÖÖR</t>
        </is>
      </c>
      <c r="I69" t="n">
        <v>1.5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27251-2024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45471</v>
      </c>
      <c r="E70" s="1" t="n">
        <v>46316</v>
      </c>
      <c r="F70" t="inlineStr">
        <is>
          <t>SKÅNE LÄN</t>
        </is>
      </c>
      <c r="G70" t="inlineStr">
        <is>
          <t>HÖÖR</t>
        </is>
      </c>
      <c r="I70" t="n">
        <v>2.7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48921-2024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45594</v>
      </c>
      <c r="E71" s="1" t="n">
        <v>46316</v>
      </c>
      <c r="F71" t="inlineStr">
        <is>
          <t>SKÅNE LÄN</t>
        </is>
      </c>
      <c r="G71" t="inlineStr">
        <is>
          <t>HÖÖR</t>
        </is>
      </c>
      <c r="I71" t="n">
        <v>6.3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48909-2024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45594</v>
      </c>
      <c r="E72" s="1" t="n">
        <v>46316</v>
      </c>
      <c r="F72" t="inlineStr">
        <is>
          <t>SKÅNE LÄN</t>
        </is>
      </c>
      <c r="G72" t="inlineStr">
        <is>
          <t>HÖÖR</t>
        </is>
      </c>
      <c r="I72" t="n">
        <v>28.4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46777-2024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45583</v>
      </c>
      <c r="E73" s="1" t="n">
        <v>46316</v>
      </c>
      <c r="F73" t="inlineStr">
        <is>
          <t>SKÅNE LÄN</t>
        </is>
      </c>
      <c r="G73" t="inlineStr">
        <is>
          <t>HÖÖR</t>
        </is>
      </c>
      <c r="I73" t="n">
        <v>4.9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52281-2024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45608</v>
      </c>
      <c r="E74" s="1" t="n">
        <v>46316</v>
      </c>
      <c r="F74" t="inlineStr">
        <is>
          <t>SKÅNE LÄN</t>
        </is>
      </c>
      <c r="G74" t="inlineStr">
        <is>
          <t>HÖÖR</t>
        </is>
      </c>
      <c r="I74" t="n">
        <v>12.3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60425-2022</t>
        </is>
      </c>
      <c r="B75" t="inlineStr">
        <is>
          <t>avverkningsanmälan</t>
        </is>
      </c>
      <c r="C75" t="inlineStr">
        <is>
          <t>Avverkning för annat ändamål</t>
        </is>
      </c>
      <c r="D75" s="1" t="n">
        <v>44911</v>
      </c>
      <c r="E75" s="1" t="n">
        <v>46316</v>
      </c>
      <c r="F75" t="inlineStr">
        <is>
          <t>SKÅNE LÄN</t>
        </is>
      </c>
      <c r="G75" t="inlineStr">
        <is>
          <t>HÖÖR</t>
        </is>
      </c>
      <c r="I75" t="n">
        <v>1.6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38813-2025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45887</v>
      </c>
      <c r="E76" s="1" t="n">
        <v>46316</v>
      </c>
      <c r="F76" t="inlineStr">
        <is>
          <t>SKÅNE LÄN</t>
        </is>
      </c>
      <c r="G76" t="inlineStr">
        <is>
          <t>HÖÖR</t>
        </is>
      </c>
      <c r="I76" t="n">
        <v>0.9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61087-2022</t>
        </is>
      </c>
      <c r="B77" t="inlineStr">
        <is>
          <t>avverkningsanmälan</t>
        </is>
      </c>
      <c r="C77" t="inlineStr">
        <is>
          <t>Avverkning för annat ändamål</t>
        </is>
      </c>
      <c r="D77" s="1" t="n">
        <v>44915</v>
      </c>
      <c r="E77" s="1" t="n">
        <v>46316</v>
      </c>
      <c r="F77" t="inlineStr">
        <is>
          <t>SKÅNE LÄN</t>
        </is>
      </c>
      <c r="G77" t="inlineStr">
        <is>
          <t>HÖÖR</t>
        </is>
      </c>
      <c r="I77" t="n">
        <v>1.4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25749-2025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45804</v>
      </c>
      <c r="E78" s="1" t="n">
        <v>46316</v>
      </c>
      <c r="F78" t="inlineStr">
        <is>
          <t>SKÅNE LÄN</t>
        </is>
      </c>
      <c r="G78" t="inlineStr">
        <is>
          <t>HÖÖR</t>
        </is>
      </c>
      <c r="I78" t="n">
        <v>0.5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19629-2025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45770</v>
      </c>
      <c r="E79" s="1" t="n">
        <v>46316</v>
      </c>
      <c r="F79" t="inlineStr">
        <is>
          <t>SKÅNE LÄN</t>
        </is>
      </c>
      <c r="G79" t="inlineStr">
        <is>
          <t>HÖÖR</t>
        </is>
      </c>
      <c r="I79" t="n">
        <v>2.1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50513-2025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45945</v>
      </c>
      <c r="E80" s="1" t="n">
        <v>46316</v>
      </c>
      <c r="F80" t="inlineStr">
        <is>
          <t>SKÅNE LÄN</t>
        </is>
      </c>
      <c r="G80" t="inlineStr">
        <is>
          <t>HÖÖR</t>
        </is>
      </c>
      <c r="I80" t="n">
        <v>1.5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40083-2025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45894</v>
      </c>
      <c r="E81" s="1" t="n">
        <v>46316</v>
      </c>
      <c r="F81" t="inlineStr">
        <is>
          <t>SKÅNE LÄN</t>
        </is>
      </c>
      <c r="G81" t="inlineStr">
        <is>
          <t>HÖÖR</t>
        </is>
      </c>
      <c r="I81" t="n">
        <v>2.1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56941-2025</t>
        </is>
      </c>
      <c r="B82" t="inlineStr">
        <is>
          <t>avverkningsanmälan</t>
        </is>
      </c>
      <c r="C82" t="inlineStr">
        <is>
          <t>Avverkning för att bevara och utveckla /försöksver</t>
        </is>
      </c>
      <c r="D82" s="1" t="n">
        <v>45978</v>
      </c>
      <c r="E82" s="1" t="n">
        <v>46316</v>
      </c>
      <c r="F82" t="inlineStr">
        <is>
          <t>SKÅNE LÄN</t>
        </is>
      </c>
      <c r="G82" t="inlineStr">
        <is>
          <t>HÖÖR</t>
        </is>
      </c>
      <c r="I82" t="n">
        <v>4.7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28189-2024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45477</v>
      </c>
      <c r="E83" s="1" t="n">
        <v>46316</v>
      </c>
      <c r="F83" t="inlineStr">
        <is>
          <t>SKÅNE LÄN</t>
        </is>
      </c>
      <c r="G83" t="inlineStr">
        <is>
          <t>HÖÖR</t>
        </is>
      </c>
      <c r="I83" t="n">
        <v>0.9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40090-2025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45894</v>
      </c>
      <c r="E84" s="1" t="n">
        <v>46316</v>
      </c>
      <c r="F84" t="inlineStr">
        <is>
          <t>SKÅNE LÄN</t>
        </is>
      </c>
      <c r="G84" t="inlineStr">
        <is>
          <t>HÖÖR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3-2026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46023</v>
      </c>
      <c r="E85" s="1" t="n">
        <v>46316</v>
      </c>
      <c r="F85" t="inlineStr">
        <is>
          <t>SKÅNE LÄN</t>
        </is>
      </c>
      <c r="G85" t="inlineStr">
        <is>
          <t>HÖÖR</t>
        </is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11-2026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46023</v>
      </c>
      <c r="E86" s="1" t="n">
        <v>46316</v>
      </c>
      <c r="F86" t="inlineStr">
        <is>
          <t>SKÅNE LÄN</t>
        </is>
      </c>
      <c r="G86" t="inlineStr">
        <is>
          <t>HÖÖR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51232-2025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45947</v>
      </c>
      <c r="E87" s="1" t="n">
        <v>46316</v>
      </c>
      <c r="F87" t="inlineStr">
        <is>
          <t>SKÅNE LÄN</t>
        </is>
      </c>
      <c r="G87" t="inlineStr">
        <is>
          <t>HÖÖR</t>
        </is>
      </c>
      <c r="I87" t="n">
        <v>0.6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12855-2023</t>
        </is>
      </c>
      <c r="B88" t="inlineStr">
        <is>
          <t>avverkningsanmälan</t>
        </is>
      </c>
      <c r="C88" t="inlineStr">
        <is>
          <t>Avverkning för annat ändamål</t>
        </is>
      </c>
      <c r="D88" s="1" t="n">
        <v>45001</v>
      </c>
      <c r="E88" s="1" t="n">
        <v>46316</v>
      </c>
      <c r="F88" t="inlineStr">
        <is>
          <t>SKÅNE LÄN</t>
        </is>
      </c>
      <c r="G88" t="inlineStr">
        <is>
          <t>HÖÖR</t>
        </is>
      </c>
      <c r="I88" t="n">
        <v>1.2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11379-2024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45372</v>
      </c>
      <c r="E89" s="1" t="n">
        <v>46316</v>
      </c>
      <c r="F89" t="inlineStr">
        <is>
          <t>SKÅNE LÄN</t>
        </is>
      </c>
      <c r="G89" t="inlineStr">
        <is>
          <t>HÖÖR</t>
        </is>
      </c>
      <c r="I89" t="n">
        <v>2.8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3182-2026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46041</v>
      </c>
      <c r="E90" s="1" t="n">
        <v>46316</v>
      </c>
      <c r="F90" t="inlineStr">
        <is>
          <t>SKÅNE LÄN</t>
        </is>
      </c>
      <c r="G90" t="inlineStr">
        <is>
          <t>HÖÖR</t>
        </is>
      </c>
      <c r="I90" t="n">
        <v>0.8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2852-2026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46038</v>
      </c>
      <c r="E91" s="1" t="n">
        <v>46316</v>
      </c>
      <c r="F91" t="inlineStr">
        <is>
          <t>SKÅNE LÄN</t>
        </is>
      </c>
      <c r="G91" t="inlineStr">
        <is>
          <t>HÖÖR</t>
        </is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30730-2025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45831</v>
      </c>
      <c r="E92" s="1" t="n">
        <v>46316</v>
      </c>
      <c r="F92" t="inlineStr">
        <is>
          <t>SKÅNE LÄN</t>
        </is>
      </c>
      <c r="G92" t="inlineStr">
        <is>
          <t>HÖÖR</t>
        </is>
      </c>
      <c r="I92" t="n">
        <v>4.4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61377-2024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45646</v>
      </c>
      <c r="E93" s="1" t="n">
        <v>46316</v>
      </c>
      <c r="F93" t="inlineStr">
        <is>
          <t>SKÅNE LÄN</t>
        </is>
      </c>
      <c r="G93" t="inlineStr">
        <is>
          <t>HÖÖR</t>
        </is>
      </c>
      <c r="I93" t="n">
        <v>0.6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45164-2025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45919</v>
      </c>
      <c r="E94" s="1" t="n">
        <v>46316</v>
      </c>
      <c r="F94" t="inlineStr">
        <is>
          <t>SKÅNE LÄN</t>
        </is>
      </c>
      <c r="G94" t="inlineStr">
        <is>
          <t>HÖÖR</t>
        </is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8290-2026</t>
        </is>
      </c>
      <c r="B95" t="inlineStr">
        <is>
          <t>avverkningsanmälan</t>
        </is>
      </c>
      <c r="C95" t="inlineStr">
        <is>
          <t>Avverkning för annat ändamål</t>
        </is>
      </c>
      <c r="D95" s="1" t="n">
        <v>46064</v>
      </c>
      <c r="E95" s="1" t="n">
        <v>46316</v>
      </c>
      <c r="F95" t="inlineStr">
        <is>
          <t>SKÅNE LÄN</t>
        </is>
      </c>
      <c r="G95" t="inlineStr">
        <is>
          <t>HÖÖR</t>
        </is>
      </c>
      <c r="I95" t="n">
        <v>5.2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17723-2023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45037</v>
      </c>
      <c r="E96" s="1" t="n">
        <v>46316</v>
      </c>
      <c r="F96" t="inlineStr">
        <is>
          <t>SKÅNE LÄN</t>
        </is>
      </c>
      <c r="G96" t="inlineStr">
        <is>
          <t>HÖÖR</t>
        </is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531-2025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45664</v>
      </c>
      <c r="E97" s="1" t="n">
        <v>46316</v>
      </c>
      <c r="F97" t="inlineStr">
        <is>
          <t>SKÅNE LÄN</t>
        </is>
      </c>
      <c r="G97" t="inlineStr">
        <is>
          <t>HÖÖR</t>
        </is>
      </c>
      <c r="I97" t="n">
        <v>1.2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8296-2026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46064</v>
      </c>
      <c r="E98" s="1" t="n">
        <v>46316</v>
      </c>
      <c r="F98" t="inlineStr">
        <is>
          <t>SKÅNE LÄN</t>
        </is>
      </c>
      <c r="G98" t="inlineStr">
        <is>
          <t>HÖÖR</t>
        </is>
      </c>
      <c r="I98" t="n">
        <v>1.4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16665-2022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44672</v>
      </c>
      <c r="E99" s="1" t="n">
        <v>46316</v>
      </c>
      <c r="F99" t="inlineStr">
        <is>
          <t>SKÅNE LÄN</t>
        </is>
      </c>
      <c r="G99" t="inlineStr">
        <is>
          <t>HÖÖR</t>
        </is>
      </c>
      <c r="I99" t="n">
        <v>3.6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58807-2025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45987</v>
      </c>
      <c r="E100" s="1" t="n">
        <v>46316</v>
      </c>
      <c r="F100" t="inlineStr">
        <is>
          <t>SKÅNE LÄN</t>
        </is>
      </c>
      <c r="G100" t="inlineStr">
        <is>
          <t>HÖÖR</t>
        </is>
      </c>
      <c r="I100" t="n">
        <v>0.9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44960-2023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45190</v>
      </c>
      <c r="E101" s="1" t="n">
        <v>46316</v>
      </c>
      <c r="F101" t="inlineStr">
        <is>
          <t>SKÅNE LÄN</t>
        </is>
      </c>
      <c r="G101" t="inlineStr">
        <is>
          <t>HÖÖR</t>
        </is>
      </c>
      <c r="I101" t="n">
        <v>1.4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4120-2024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45323</v>
      </c>
      <c r="E102" s="1" t="n">
        <v>46316</v>
      </c>
      <c r="F102" t="inlineStr">
        <is>
          <t>SKÅNE LÄN</t>
        </is>
      </c>
      <c r="G102" t="inlineStr">
        <is>
          <t>HÖÖR</t>
        </is>
      </c>
      <c r="I102" t="n">
        <v>5.1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49780-2025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45940</v>
      </c>
      <c r="E103" s="1" t="n">
        <v>46316</v>
      </c>
      <c r="F103" t="inlineStr">
        <is>
          <t>SKÅNE LÄN</t>
        </is>
      </c>
      <c r="G103" t="inlineStr">
        <is>
          <t>HÖÖR</t>
        </is>
      </c>
      <c r="I103" t="n">
        <v>0.4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39603-2023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45167</v>
      </c>
      <c r="E104" s="1" t="n">
        <v>46316</v>
      </c>
      <c r="F104" t="inlineStr">
        <is>
          <t>SKÅNE LÄN</t>
        </is>
      </c>
      <c r="G104" t="inlineStr">
        <is>
          <t>HÖÖR</t>
        </is>
      </c>
      <c r="I104" t="n">
        <v>2.6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5730-2022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44596</v>
      </c>
      <c r="E105" s="1" t="n">
        <v>46316</v>
      </c>
      <c r="F105" t="inlineStr">
        <is>
          <t>SKÅNE LÄN</t>
        </is>
      </c>
      <c r="G105" t="inlineStr">
        <is>
          <t>HÖÖR</t>
        </is>
      </c>
      <c r="I105" t="n">
        <v>2.6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13437-2023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45005</v>
      </c>
      <c r="E106" s="1" t="n">
        <v>46316</v>
      </c>
      <c r="F106" t="inlineStr">
        <is>
          <t>SKÅNE LÄN</t>
        </is>
      </c>
      <c r="G106" t="inlineStr">
        <is>
          <t>HÖÖR</t>
        </is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14515-2023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45012</v>
      </c>
      <c r="E107" s="1" t="n">
        <v>46316</v>
      </c>
      <c r="F107" t="inlineStr">
        <is>
          <t>SKÅNE LÄN</t>
        </is>
      </c>
      <c r="G107" t="inlineStr">
        <is>
          <t>HÖÖR</t>
        </is>
      </c>
      <c r="I107" t="n">
        <v>0.5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26757-2023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45093</v>
      </c>
      <c r="E108" s="1" t="n">
        <v>46316</v>
      </c>
      <c r="F108" t="inlineStr">
        <is>
          <t>SKÅNE LÄN</t>
        </is>
      </c>
      <c r="G108" t="inlineStr">
        <is>
          <t>HÖÖR</t>
        </is>
      </c>
      <c r="I108" t="n">
        <v>0.9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43877-2022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44838</v>
      </c>
      <c r="E109" s="1" t="n">
        <v>46316</v>
      </c>
      <c r="F109" t="inlineStr">
        <is>
          <t>SKÅNE LÄN</t>
        </is>
      </c>
      <c r="G109" t="inlineStr">
        <is>
          <t>HÖÖR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43897-2022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44838</v>
      </c>
      <c r="E110" s="1" t="n">
        <v>46316</v>
      </c>
      <c r="F110" t="inlineStr">
        <is>
          <t>SKÅNE LÄN</t>
        </is>
      </c>
      <c r="G110" t="inlineStr">
        <is>
          <t>HÖÖR</t>
        </is>
      </c>
      <c r="I110" t="n">
        <v>4.9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27219-2022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44741</v>
      </c>
      <c r="E111" s="1" t="n">
        <v>46316</v>
      </c>
      <c r="F111" t="inlineStr">
        <is>
          <t>SKÅNE LÄN</t>
        </is>
      </c>
      <c r="G111" t="inlineStr">
        <is>
          <t>HÖÖR</t>
        </is>
      </c>
      <c r="I111" t="n">
        <v>4.3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55347-2025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45971</v>
      </c>
      <c r="E112" s="1" t="n">
        <v>46316</v>
      </c>
      <c r="F112" t="inlineStr">
        <is>
          <t>SKÅNE LÄN</t>
        </is>
      </c>
      <c r="G112" t="inlineStr">
        <is>
          <t>HÖÖR</t>
        </is>
      </c>
      <c r="I112" t="n">
        <v>0.6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63268-2023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45273</v>
      </c>
      <c r="E113" s="1" t="n">
        <v>46316</v>
      </c>
      <c r="F113" t="inlineStr">
        <is>
          <t>SKÅNE LÄN</t>
        </is>
      </c>
      <c r="G113" t="inlineStr">
        <is>
          <t>HÖÖR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18696-2026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46128</v>
      </c>
      <c r="E114" s="1" t="n">
        <v>46316</v>
      </c>
      <c r="F114" t="inlineStr">
        <is>
          <t>SKÅNE LÄN</t>
        </is>
      </c>
      <c r="G114" t="inlineStr">
        <is>
          <t>HÖÖR</t>
        </is>
      </c>
      <c r="I114" t="n">
        <v>3.8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17693-2026</t>
        </is>
      </c>
      <c r="B115" t="inlineStr">
        <is>
          <t>avverkningsanmälan</t>
        </is>
      </c>
      <c r="C115" t="inlineStr">
        <is>
          <t>Avverkning för annat ändamål</t>
        </is>
      </c>
      <c r="D115" s="1" t="n">
        <v>46121</v>
      </c>
      <c r="E115" s="1" t="n">
        <v>46316</v>
      </c>
      <c r="F115" t="inlineStr">
        <is>
          <t>SKÅNE LÄN</t>
        </is>
      </c>
      <c r="G115" t="inlineStr">
        <is>
          <t>HÖÖR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56304-2025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45974</v>
      </c>
      <c r="E116" s="1" t="n">
        <v>46316</v>
      </c>
      <c r="F116" t="inlineStr">
        <is>
          <t>SKÅNE LÄN</t>
        </is>
      </c>
      <c r="G116" t="inlineStr">
        <is>
          <t>HÖÖR</t>
        </is>
      </c>
      <c r="I116" t="n">
        <v>1.7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56307-2025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45974</v>
      </c>
      <c r="E117" s="1" t="n">
        <v>46316</v>
      </c>
      <c r="F117" t="inlineStr">
        <is>
          <t>SKÅNE LÄN</t>
        </is>
      </c>
      <c r="G117" t="inlineStr">
        <is>
          <t>HÖÖR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8478-2025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45709</v>
      </c>
      <c r="E118" s="1" t="n">
        <v>46316</v>
      </c>
      <c r="F118" t="inlineStr">
        <is>
          <t>SKÅNE LÄN</t>
        </is>
      </c>
      <c r="G118" t="inlineStr">
        <is>
          <t>HÖÖR</t>
        </is>
      </c>
      <c r="I118" t="n">
        <v>1.8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2114-2025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45672</v>
      </c>
      <c r="E119" s="1" t="n">
        <v>46316</v>
      </c>
      <c r="F119" t="inlineStr">
        <is>
          <t>SKÅNE LÄN</t>
        </is>
      </c>
      <c r="G119" t="inlineStr">
        <is>
          <t>HÖÖR</t>
        </is>
      </c>
      <c r="I119" t="n">
        <v>1.7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8305-2026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46064</v>
      </c>
      <c r="E120" s="1" t="n">
        <v>46316</v>
      </c>
      <c r="F120" t="inlineStr">
        <is>
          <t>SKÅNE LÄN</t>
        </is>
      </c>
      <c r="G120" t="inlineStr">
        <is>
          <t>HÖÖR</t>
        </is>
      </c>
      <c r="I120" t="n">
        <v>0.5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29285-2025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45824</v>
      </c>
      <c r="E121" s="1" t="n">
        <v>46316</v>
      </c>
      <c r="F121" t="inlineStr">
        <is>
          <t>SKÅNE LÄN</t>
        </is>
      </c>
      <c r="G121" t="inlineStr">
        <is>
          <t>HÖÖR</t>
        </is>
      </c>
      <c r="I121" t="n">
        <v>8.199999999999999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57982-2025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45982</v>
      </c>
      <c r="E122" s="1" t="n">
        <v>46316</v>
      </c>
      <c r="F122" t="inlineStr">
        <is>
          <t>SKÅNE LÄN</t>
        </is>
      </c>
      <c r="G122" t="inlineStr">
        <is>
          <t>HÖÖR</t>
        </is>
      </c>
      <c r="I122" t="n">
        <v>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21066-2023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45061</v>
      </c>
      <c r="E123" s="1" t="n">
        <v>46316</v>
      </c>
      <c r="F123" t="inlineStr">
        <is>
          <t>SKÅNE LÄN</t>
        </is>
      </c>
      <c r="G123" t="inlineStr">
        <is>
          <t>HÖÖR</t>
        </is>
      </c>
      <c r="H123" t="inlineStr">
        <is>
          <t>Sveaskog</t>
        </is>
      </c>
      <c r="I123" t="n">
        <v>1.4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28352-2024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45477</v>
      </c>
      <c r="E124" s="1" t="n">
        <v>46316</v>
      </c>
      <c r="F124" t="inlineStr">
        <is>
          <t>SKÅNE LÄN</t>
        </is>
      </c>
      <c r="G124" t="inlineStr">
        <is>
          <t>HÖÖR</t>
        </is>
      </c>
      <c r="I124" t="n">
        <v>0.9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15905-2024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45405</v>
      </c>
      <c r="E125" s="1" t="n">
        <v>46316</v>
      </c>
      <c r="F125" t="inlineStr">
        <is>
          <t>SKÅNE LÄN</t>
        </is>
      </c>
      <c r="G125" t="inlineStr">
        <is>
          <t>HÖÖR</t>
        </is>
      </c>
      <c r="I125" t="n">
        <v>0.8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28830-2025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45820</v>
      </c>
      <c r="E126" s="1" t="n">
        <v>46316</v>
      </c>
      <c r="F126" t="inlineStr">
        <is>
          <t>SKÅNE LÄN</t>
        </is>
      </c>
      <c r="G126" t="inlineStr">
        <is>
          <t>HÖÖR</t>
        </is>
      </c>
      <c r="I126" t="n">
        <v>3.8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28332-2024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45477</v>
      </c>
      <c r="E127" s="1" t="n">
        <v>46316</v>
      </c>
      <c r="F127" t="inlineStr">
        <is>
          <t>SKÅNE LÄN</t>
        </is>
      </c>
      <c r="G127" t="inlineStr">
        <is>
          <t>HÖÖR</t>
        </is>
      </c>
      <c r="I127" t="n">
        <v>7.5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6760-2024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45342</v>
      </c>
      <c r="E128" s="1" t="n">
        <v>46316</v>
      </c>
      <c r="F128" t="inlineStr">
        <is>
          <t>SKÅNE LÄN</t>
        </is>
      </c>
      <c r="G128" t="inlineStr">
        <is>
          <t>HÖÖR</t>
        </is>
      </c>
      <c r="I128" t="n">
        <v>4.1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6174-2025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45698</v>
      </c>
      <c r="E129" s="1" t="n">
        <v>46316</v>
      </c>
      <c r="F129" t="inlineStr">
        <is>
          <t>SKÅNE LÄN</t>
        </is>
      </c>
      <c r="G129" t="inlineStr">
        <is>
          <t>HÖÖR</t>
        </is>
      </c>
      <c r="I129" t="n">
        <v>2.6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61175-2025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46000</v>
      </c>
      <c r="E130" s="1" t="n">
        <v>46316</v>
      </c>
      <c r="F130" t="inlineStr">
        <is>
          <t>SKÅNE LÄN</t>
        </is>
      </c>
      <c r="G130" t="inlineStr">
        <is>
          <t>HÖÖR</t>
        </is>
      </c>
      <c r="I130" t="n">
        <v>2.2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26590-2025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45807</v>
      </c>
      <c r="E131" s="1" t="n">
        <v>46316</v>
      </c>
      <c r="F131" t="inlineStr">
        <is>
          <t>SKÅNE LÄN</t>
        </is>
      </c>
      <c r="G131" t="inlineStr">
        <is>
          <t>HÖÖR</t>
        </is>
      </c>
      <c r="I131" t="n">
        <v>3.3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26591-2025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45807</v>
      </c>
      <c r="E132" s="1" t="n">
        <v>46316</v>
      </c>
      <c r="F132" t="inlineStr">
        <is>
          <t>SKÅNE LÄN</t>
        </is>
      </c>
      <c r="G132" t="inlineStr">
        <is>
          <t>HÖÖR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3407-2024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45318</v>
      </c>
      <c r="E133" s="1" t="n">
        <v>46316</v>
      </c>
      <c r="F133" t="inlineStr">
        <is>
          <t>SKÅNE LÄN</t>
        </is>
      </c>
      <c r="G133" t="inlineStr">
        <is>
          <t>HÖÖR</t>
        </is>
      </c>
      <c r="I133" t="n">
        <v>6.5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26764-2023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45093</v>
      </c>
      <c r="E134" s="1" t="n">
        <v>46316</v>
      </c>
      <c r="F134" t="inlineStr">
        <is>
          <t>SKÅNE LÄN</t>
        </is>
      </c>
      <c r="G134" t="inlineStr">
        <is>
          <t>HÖÖR</t>
        </is>
      </c>
      <c r="I134" t="n">
        <v>1.1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10452-2023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44981</v>
      </c>
      <c r="E135" s="1" t="n">
        <v>46316</v>
      </c>
      <c r="F135" t="inlineStr">
        <is>
          <t>SKÅNE LÄN</t>
        </is>
      </c>
      <c r="G135" t="inlineStr">
        <is>
          <t>HÖÖR</t>
        </is>
      </c>
      <c r="I135" t="n">
        <v>1.9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2950-2024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45315</v>
      </c>
      <c r="E136" s="1" t="n">
        <v>46316</v>
      </c>
      <c r="F136" t="inlineStr">
        <is>
          <t>SKÅNE LÄN</t>
        </is>
      </c>
      <c r="G136" t="inlineStr">
        <is>
          <t>HÖÖR</t>
        </is>
      </c>
      <c r="I136" t="n">
        <v>1.7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21229-2026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46146</v>
      </c>
      <c r="E137" s="1" t="n">
        <v>46316</v>
      </c>
      <c r="F137" t="inlineStr">
        <is>
          <t>SKÅNE LÄN</t>
        </is>
      </c>
      <c r="G137" t="inlineStr">
        <is>
          <t>HÖÖR</t>
        </is>
      </c>
      <c r="I137" t="n">
        <v>1.4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20512-2023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45057</v>
      </c>
      <c r="E138" s="1" t="n">
        <v>46316</v>
      </c>
      <c r="F138" t="inlineStr">
        <is>
          <t>SKÅNE LÄN</t>
        </is>
      </c>
      <c r="G138" t="inlineStr">
        <is>
          <t>HÖÖR</t>
        </is>
      </c>
      <c r="I138" t="n">
        <v>2.7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43996-2022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44838</v>
      </c>
      <c r="E139" s="1" t="n">
        <v>46316</v>
      </c>
      <c r="F139" t="inlineStr">
        <is>
          <t>SKÅNE LÄN</t>
        </is>
      </c>
      <c r="G139" t="inlineStr">
        <is>
          <t>HÖÖR</t>
        </is>
      </c>
      <c r="I139" t="n">
        <v>1.3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47222-2022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44852</v>
      </c>
      <c r="E140" s="1" t="n">
        <v>46316</v>
      </c>
      <c r="F140" t="inlineStr">
        <is>
          <t>SKÅNE LÄN</t>
        </is>
      </c>
      <c r="G140" t="inlineStr">
        <is>
          <t>HÖÖR</t>
        </is>
      </c>
      <c r="I140" t="n">
        <v>12.3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4928-2022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44593</v>
      </c>
      <c r="E141" s="1" t="n">
        <v>46316</v>
      </c>
      <c r="F141" t="inlineStr">
        <is>
          <t>SKÅNE LÄN</t>
        </is>
      </c>
      <c r="G141" t="inlineStr">
        <is>
          <t>HÖÖR</t>
        </is>
      </c>
      <c r="I141" t="n">
        <v>2.7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54711-2024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45618</v>
      </c>
      <c r="E142" s="1" t="n">
        <v>46316</v>
      </c>
      <c r="F142" t="inlineStr">
        <is>
          <t>SKÅNE LÄN</t>
        </is>
      </c>
      <c r="G142" t="inlineStr">
        <is>
          <t>HÖÖR</t>
        </is>
      </c>
      <c r="I142" t="n">
        <v>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20381-2025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45775</v>
      </c>
      <c r="E143" s="1" t="n">
        <v>46316</v>
      </c>
      <c r="F143" t="inlineStr">
        <is>
          <t>SKÅNE LÄN</t>
        </is>
      </c>
      <c r="G143" t="inlineStr">
        <is>
          <t>HÖÖR</t>
        </is>
      </c>
      <c r="I143" t="n">
        <v>1.7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22966-2026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46160</v>
      </c>
      <c r="E144" s="1" t="n">
        <v>46316</v>
      </c>
      <c r="F144" t="inlineStr">
        <is>
          <t>SKÅNE LÄN</t>
        </is>
      </c>
      <c r="G144" t="inlineStr">
        <is>
          <t>HÖÖR</t>
        </is>
      </c>
      <c r="I144" t="n">
        <v>2.4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22964-2026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46160</v>
      </c>
      <c r="E145" s="1" t="n">
        <v>46316</v>
      </c>
      <c r="F145" t="inlineStr">
        <is>
          <t>SKÅNE LÄN</t>
        </is>
      </c>
      <c r="G145" t="inlineStr">
        <is>
          <t>HÖÖR</t>
        </is>
      </c>
      <c r="I145" t="n">
        <v>3.1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45092-2024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45575</v>
      </c>
      <c r="E146" s="1" t="n">
        <v>46316</v>
      </c>
      <c r="F146" t="inlineStr">
        <is>
          <t>SKÅNE LÄN</t>
        </is>
      </c>
      <c r="G146" t="inlineStr">
        <is>
          <t>HÖÖR</t>
        </is>
      </c>
      <c r="I146" t="n">
        <v>0.6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57428-2023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45240</v>
      </c>
      <c r="E147" s="1" t="n">
        <v>46316</v>
      </c>
      <c r="F147" t="inlineStr">
        <is>
          <t>SKÅNE LÄN</t>
        </is>
      </c>
      <c r="G147" t="inlineStr">
        <is>
          <t>HÖÖR</t>
        </is>
      </c>
      <c r="I147" t="n">
        <v>1.5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51235-2025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45947</v>
      </c>
      <c r="E148" s="1" t="n">
        <v>46316</v>
      </c>
      <c r="F148" t="inlineStr">
        <is>
          <t>SKÅNE LÄN</t>
        </is>
      </c>
      <c r="G148" t="inlineStr">
        <is>
          <t>HÖÖR</t>
        </is>
      </c>
      <c r="I148" t="n">
        <v>2.4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1475-2022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44573</v>
      </c>
      <c r="E149" s="1" t="n">
        <v>46316</v>
      </c>
      <c r="F149" t="inlineStr">
        <is>
          <t>SKÅNE LÄN</t>
        </is>
      </c>
      <c r="G149" t="inlineStr">
        <is>
          <t>HÖÖR</t>
        </is>
      </c>
      <c r="I149" t="n">
        <v>4.6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41623-2023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45175</v>
      </c>
      <c r="E150" s="1" t="n">
        <v>46316</v>
      </c>
      <c r="F150" t="inlineStr">
        <is>
          <t>SKÅNE LÄN</t>
        </is>
      </c>
      <c r="G150" t="inlineStr">
        <is>
          <t>HÖÖR</t>
        </is>
      </c>
      <c r="I150" t="n">
        <v>3.2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50553-2025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45945</v>
      </c>
      <c r="E151" s="1" t="n">
        <v>46316</v>
      </c>
      <c r="F151" t="inlineStr">
        <is>
          <t>SKÅNE LÄN</t>
        </is>
      </c>
      <c r="G151" t="inlineStr">
        <is>
          <t>HÖÖR</t>
        </is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37074-2024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45539</v>
      </c>
      <c r="E152" s="1" t="n">
        <v>46316</v>
      </c>
      <c r="F152" t="inlineStr">
        <is>
          <t>SKÅNE LÄN</t>
        </is>
      </c>
      <c r="G152" t="inlineStr">
        <is>
          <t>HÖÖR</t>
        </is>
      </c>
      <c r="I152" t="n">
        <v>2.9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3940-2024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45322</v>
      </c>
      <c r="E153" s="1" t="n">
        <v>46316</v>
      </c>
      <c r="F153" t="inlineStr">
        <is>
          <t>SKÅNE LÄN</t>
        </is>
      </c>
      <c r="G153" t="inlineStr">
        <is>
          <t>HÖÖR</t>
        </is>
      </c>
      <c r="I153" t="n">
        <v>1.5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53460-2022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44879</v>
      </c>
      <c r="E154" s="1" t="n">
        <v>46316</v>
      </c>
      <c r="F154" t="inlineStr">
        <is>
          <t>SKÅNE LÄN</t>
        </is>
      </c>
      <c r="G154" t="inlineStr">
        <is>
          <t>HÖÖR</t>
        </is>
      </c>
      <c r="I154" t="n">
        <v>0.5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53807-2023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45231</v>
      </c>
      <c r="E155" s="1" t="n">
        <v>46316</v>
      </c>
      <c r="F155" t="inlineStr">
        <is>
          <t>SKÅNE LÄN</t>
        </is>
      </c>
      <c r="G155" t="inlineStr">
        <is>
          <t>HÖÖR</t>
        </is>
      </c>
      <c r="I155" t="n">
        <v>0.5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44728-2024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45574</v>
      </c>
      <c r="E156" s="1" t="n">
        <v>46316</v>
      </c>
      <c r="F156" t="inlineStr">
        <is>
          <t>SKÅNE LÄN</t>
        </is>
      </c>
      <c r="G156" t="inlineStr">
        <is>
          <t>HÖÖR</t>
        </is>
      </c>
      <c r="I156" t="n">
        <v>0.7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26033-2022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44734</v>
      </c>
      <c r="E157" s="1" t="n">
        <v>46316</v>
      </c>
      <c r="F157" t="inlineStr">
        <is>
          <t>SKÅNE LÄN</t>
        </is>
      </c>
      <c r="G157" t="inlineStr">
        <is>
          <t>HÖÖR</t>
        </is>
      </c>
      <c r="H157" t="inlineStr">
        <is>
          <t>Övriga statliga verk och myndigheter</t>
        </is>
      </c>
      <c r="I157" t="n">
        <v>9.300000000000001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15657-2025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45748</v>
      </c>
      <c r="E158" s="1" t="n">
        <v>46316</v>
      </c>
      <c r="F158" t="inlineStr">
        <is>
          <t>SKÅNE LÄN</t>
        </is>
      </c>
      <c r="G158" t="inlineStr">
        <is>
          <t>HÖÖR</t>
        </is>
      </c>
      <c r="I158" t="n">
        <v>3.6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7306-2023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44970</v>
      </c>
      <c r="E159" s="1" t="n">
        <v>46316</v>
      </c>
      <c r="F159" t="inlineStr">
        <is>
          <t>SKÅNE LÄN</t>
        </is>
      </c>
      <c r="G159" t="inlineStr">
        <is>
          <t>HÖÖR</t>
        </is>
      </c>
      <c r="I159" t="n">
        <v>3.2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18345-2022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44685</v>
      </c>
      <c r="E160" s="1" t="n">
        <v>46316</v>
      </c>
      <c r="F160" t="inlineStr">
        <is>
          <t>SKÅNE LÄN</t>
        </is>
      </c>
      <c r="G160" t="inlineStr">
        <is>
          <t>HÖÖR</t>
        </is>
      </c>
      <c r="H160" t="inlineStr">
        <is>
          <t>Sveaskog</t>
        </is>
      </c>
      <c r="I160" t="n">
        <v>1.5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28597-2026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46197</v>
      </c>
      <c r="E161" s="1" t="n">
        <v>46316</v>
      </c>
      <c r="F161" t="inlineStr">
        <is>
          <t>SKÅNE LÄN</t>
        </is>
      </c>
      <c r="G161" t="inlineStr">
        <is>
          <t>HÖÖR</t>
        </is>
      </c>
      <c r="I161" t="n">
        <v>3.8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36211-2024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45534</v>
      </c>
      <c r="E162" s="1" t="n">
        <v>46316</v>
      </c>
      <c r="F162" t="inlineStr">
        <is>
          <t>SKÅNE LÄN</t>
        </is>
      </c>
      <c r="G162" t="inlineStr">
        <is>
          <t>HÖÖR</t>
        </is>
      </c>
      <c r="I162" t="n">
        <v>7.6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43891-2022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44838</v>
      </c>
      <c r="E163" s="1" t="n">
        <v>46316</v>
      </c>
      <c r="F163" t="inlineStr">
        <is>
          <t>SKÅNE LÄN</t>
        </is>
      </c>
      <c r="G163" t="inlineStr">
        <is>
          <t>HÖÖR</t>
        </is>
      </c>
      <c r="I163" t="n">
        <v>3.5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28849-2026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46198</v>
      </c>
      <c r="E164" s="1" t="n">
        <v>46316</v>
      </c>
      <c r="F164" t="inlineStr">
        <is>
          <t>SKÅNE LÄN</t>
        </is>
      </c>
      <c r="G164" t="inlineStr">
        <is>
          <t>HÖÖR</t>
        </is>
      </c>
      <c r="I164" t="n">
        <v>1.5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57461-2022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44896</v>
      </c>
      <c r="E165" s="1" t="n">
        <v>46316</v>
      </c>
      <c r="F165" t="inlineStr">
        <is>
          <t>SKÅNE LÄN</t>
        </is>
      </c>
      <c r="G165" t="inlineStr">
        <is>
          <t>HÖÖR</t>
        </is>
      </c>
      <c r="I165" t="n">
        <v>2.2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65200-2021</t>
        </is>
      </c>
      <c r="B166" t="inlineStr">
        <is>
          <t>avverkningsanmälan</t>
        </is>
      </c>
      <c r="C166" t="inlineStr">
        <is>
          <t>Avverkning för annat ändamål</t>
        </is>
      </c>
      <c r="D166" s="1" t="n">
        <v>44515</v>
      </c>
      <c r="E166" s="1" t="n">
        <v>46316</v>
      </c>
      <c r="F166" t="inlineStr">
        <is>
          <t>SKÅNE LÄN</t>
        </is>
      </c>
      <c r="G166" t="inlineStr">
        <is>
          <t>HÖÖR</t>
        </is>
      </c>
      <c r="I166" t="n">
        <v>1.1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29867-2026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46205</v>
      </c>
      <c r="E167" s="1" t="n">
        <v>46316</v>
      </c>
      <c r="F167" t="inlineStr">
        <is>
          <t>SKÅNE LÄN</t>
        </is>
      </c>
      <c r="G167" t="inlineStr">
        <is>
          <t>HÖÖR</t>
        </is>
      </c>
      <c r="I167" t="n">
        <v>1.7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14554-2025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45741</v>
      </c>
      <c r="E168" s="1" t="n">
        <v>46316</v>
      </c>
      <c r="F168" t="inlineStr">
        <is>
          <t>SKÅNE LÄN</t>
        </is>
      </c>
      <c r="G168" t="inlineStr">
        <is>
          <t>HÖÖR</t>
        </is>
      </c>
      <c r="I168" t="n">
        <v>0.7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53848-2023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45231</v>
      </c>
      <c r="E169" s="1" t="n">
        <v>46316</v>
      </c>
      <c r="F169" t="inlineStr">
        <is>
          <t>SKÅNE LÄN</t>
        </is>
      </c>
      <c r="G169" t="inlineStr">
        <is>
          <t>HÖÖR</t>
        </is>
      </c>
      <c r="I169" t="n">
        <v>1.4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30339-2026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46209</v>
      </c>
      <c r="E170" s="1" t="n">
        <v>46316</v>
      </c>
      <c r="F170" t="inlineStr">
        <is>
          <t>SKÅNE LÄN</t>
        </is>
      </c>
      <c r="G170" t="inlineStr">
        <is>
          <t>HÖÖR</t>
        </is>
      </c>
      <c r="I170" t="n">
        <v>3.1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25934-2022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44734</v>
      </c>
      <c r="E171" s="1" t="n">
        <v>46316</v>
      </c>
      <c r="F171" t="inlineStr">
        <is>
          <t>SKÅNE LÄN</t>
        </is>
      </c>
      <c r="G171" t="inlineStr">
        <is>
          <t>HÖÖR</t>
        </is>
      </c>
      <c r="H171" t="inlineStr">
        <is>
          <t>Övriga statliga verk och myndigheter</t>
        </is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6440-2024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45338</v>
      </c>
      <c r="E172" s="1" t="n">
        <v>46316</v>
      </c>
      <c r="F172" t="inlineStr">
        <is>
          <t>SKÅNE LÄN</t>
        </is>
      </c>
      <c r="G172" t="inlineStr">
        <is>
          <t>HÖÖR</t>
        </is>
      </c>
      <c r="I172" t="n">
        <v>0.6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56596-2022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44888</v>
      </c>
      <c r="E173" s="1" t="n">
        <v>46316</v>
      </c>
      <c r="F173" t="inlineStr">
        <is>
          <t>SKÅNE LÄN</t>
        </is>
      </c>
      <c r="G173" t="inlineStr">
        <is>
          <t>HÖÖR</t>
        </is>
      </c>
      <c r="I173" t="n">
        <v>0.8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16663-2022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44672</v>
      </c>
      <c r="E174" s="1" t="n">
        <v>46316</v>
      </c>
      <c r="F174" t="inlineStr">
        <is>
          <t>SKÅNE LÄN</t>
        </is>
      </c>
      <c r="G174" t="inlineStr">
        <is>
          <t>HÖÖR</t>
        </is>
      </c>
      <c r="I174" t="n">
        <v>1.7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6941-2024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45343</v>
      </c>
      <c r="E175" s="1" t="n">
        <v>46316</v>
      </c>
      <c r="F175" t="inlineStr">
        <is>
          <t>SKÅNE LÄN</t>
        </is>
      </c>
      <c r="G175" t="inlineStr">
        <is>
          <t>HÖÖR</t>
        </is>
      </c>
      <c r="I175" t="n">
        <v>0.6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6944-2024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45343</v>
      </c>
      <c r="E176" s="1" t="n">
        <v>46316</v>
      </c>
      <c r="F176" t="inlineStr">
        <is>
          <t>SKÅNE LÄN</t>
        </is>
      </c>
      <c r="G176" t="inlineStr">
        <is>
          <t>HÖÖR</t>
        </is>
      </c>
      <c r="I176" t="n">
        <v>0.5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27723-2026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46191</v>
      </c>
      <c r="E177" s="1" t="n">
        <v>46316</v>
      </c>
      <c r="F177" t="inlineStr">
        <is>
          <t>SKÅNE LÄN</t>
        </is>
      </c>
      <c r="G177" t="inlineStr">
        <is>
          <t>HÖÖR</t>
        </is>
      </c>
      <c r="I177" t="n">
        <v>3.5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2935-2024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45315</v>
      </c>
      <c r="E178" s="1" t="n">
        <v>46316</v>
      </c>
      <c r="F178" t="inlineStr">
        <is>
          <t>SKÅNE LÄN</t>
        </is>
      </c>
      <c r="G178" t="inlineStr">
        <is>
          <t>HÖÖR</t>
        </is>
      </c>
      <c r="I178" t="n">
        <v>5.4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14849-2024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45398</v>
      </c>
      <c r="E179" s="1" t="n">
        <v>46316</v>
      </c>
      <c r="F179" t="inlineStr">
        <is>
          <t>SKÅNE LÄN</t>
        </is>
      </c>
      <c r="G179" t="inlineStr">
        <is>
          <t>HÖÖR</t>
        </is>
      </c>
      <c r="I179" t="n">
        <v>4.1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25559-2026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46177</v>
      </c>
      <c r="E180" s="1" t="n">
        <v>46316</v>
      </c>
      <c r="F180" t="inlineStr">
        <is>
          <t>SKÅNE LÄN</t>
        </is>
      </c>
      <c r="G180" t="inlineStr">
        <is>
          <t>HÖÖR</t>
        </is>
      </c>
      <c r="I180" t="n">
        <v>3.9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38003-2026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46280</v>
      </c>
      <c r="E181" s="1" t="n">
        <v>46316</v>
      </c>
      <c r="F181" t="inlineStr">
        <is>
          <t>SKÅNE LÄN</t>
        </is>
      </c>
      <c r="G181" t="inlineStr">
        <is>
          <t>HÖÖR</t>
        </is>
      </c>
      <c r="I181" t="n">
        <v>3.6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38392-2026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46282</v>
      </c>
      <c r="E182" s="1" t="n">
        <v>46316</v>
      </c>
      <c r="F182" t="inlineStr">
        <is>
          <t>SKÅNE LÄN</t>
        </is>
      </c>
      <c r="G182" t="inlineStr">
        <is>
          <t>HÖÖR</t>
        </is>
      </c>
      <c r="I182" t="n">
        <v>0.5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28223-2026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46196</v>
      </c>
      <c r="E183" s="1" t="n">
        <v>46316</v>
      </c>
      <c r="F183" t="inlineStr">
        <is>
          <t>SKÅNE LÄN</t>
        </is>
      </c>
      <c r="G183" t="inlineStr">
        <is>
          <t>HÖÖR</t>
        </is>
      </c>
      <c r="I183" t="n">
        <v>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13432-2023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45005</v>
      </c>
      <c r="E184" s="1" t="n">
        <v>46316</v>
      </c>
      <c r="F184" t="inlineStr">
        <is>
          <t>SKÅNE LÄN</t>
        </is>
      </c>
      <c r="G184" t="inlineStr">
        <is>
          <t>HÖÖR</t>
        </is>
      </c>
      <c r="I184" t="n">
        <v>0.8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63139-2023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45273</v>
      </c>
      <c r="E185" s="1" t="n">
        <v>46316</v>
      </c>
      <c r="F185" t="inlineStr">
        <is>
          <t>SKÅNE LÄN</t>
        </is>
      </c>
      <c r="G185" t="inlineStr">
        <is>
          <t>HÖÖR</t>
        </is>
      </c>
      <c r="I185" t="n">
        <v>2.1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5138-2022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44594</v>
      </c>
      <c r="E186" s="1" t="n">
        <v>46316</v>
      </c>
      <c r="F186" t="inlineStr">
        <is>
          <t>SKÅNE LÄN</t>
        </is>
      </c>
      <c r="G186" t="inlineStr">
        <is>
          <t>HÖÖR</t>
        </is>
      </c>
      <c r="I186" t="n">
        <v>0.9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53455-2022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44874</v>
      </c>
      <c r="E187" s="1" t="n">
        <v>46316</v>
      </c>
      <c r="F187" t="inlineStr">
        <is>
          <t>SKÅNE LÄN</t>
        </is>
      </c>
      <c r="G187" t="inlineStr">
        <is>
          <t>HÖÖR</t>
        </is>
      </c>
      <c r="I187" t="n">
        <v>3.3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59702-2022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44908</v>
      </c>
      <c r="E188" s="1" t="n">
        <v>46316</v>
      </c>
      <c r="F188" t="inlineStr">
        <is>
          <t>SKÅNE LÄN</t>
        </is>
      </c>
      <c r="G188" t="inlineStr">
        <is>
          <t>HÖÖR</t>
        </is>
      </c>
      <c r="H188" t="inlineStr">
        <is>
          <t>Sveaskog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27368-2026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46184</v>
      </c>
      <c r="E189" s="1" t="n">
        <v>46316</v>
      </c>
      <c r="F189" t="inlineStr">
        <is>
          <t>SKÅNE LÄN</t>
        </is>
      </c>
      <c r="G189" t="inlineStr">
        <is>
          <t>HÖÖR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20329-2026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46136</v>
      </c>
      <c r="E190" s="1" t="n">
        <v>46316</v>
      </c>
      <c r="F190" t="inlineStr">
        <is>
          <t>SKÅNE LÄN</t>
        </is>
      </c>
      <c r="G190" t="inlineStr">
        <is>
          <t>HÖÖR</t>
        </is>
      </c>
      <c r="I190" t="n">
        <v>1.5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16969-2025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45755</v>
      </c>
      <c r="E191" s="1" t="n">
        <v>46316</v>
      </c>
      <c r="F191" t="inlineStr">
        <is>
          <t>SKÅNE LÄN</t>
        </is>
      </c>
      <c r="G191" t="inlineStr">
        <is>
          <t>HÖÖR</t>
        </is>
      </c>
      <c r="I191" t="n">
        <v>0.6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43871-2022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44838</v>
      </c>
      <c r="E192" s="1" t="n">
        <v>46316</v>
      </c>
      <c r="F192" t="inlineStr">
        <is>
          <t>SKÅNE LÄN</t>
        </is>
      </c>
      <c r="G192" t="inlineStr">
        <is>
          <t>HÖÖR</t>
        </is>
      </c>
      <c r="I192" t="n">
        <v>1.2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43884-2022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44838</v>
      </c>
      <c r="E193" s="1" t="n">
        <v>46316</v>
      </c>
      <c r="F193" t="inlineStr">
        <is>
          <t>SKÅNE LÄN</t>
        </is>
      </c>
      <c r="G193" t="inlineStr">
        <is>
          <t>HÖÖR</t>
        </is>
      </c>
      <c r="I193" t="n">
        <v>1.4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45349-2023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45191</v>
      </c>
      <c r="E194" s="1" t="n">
        <v>46316</v>
      </c>
      <c r="F194" t="inlineStr">
        <is>
          <t>SKÅNE LÄN</t>
        </is>
      </c>
      <c r="G194" t="inlineStr">
        <is>
          <t>HÖÖR</t>
        </is>
      </c>
      <c r="I194" t="n">
        <v>3.1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36884-2023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45154</v>
      </c>
      <c r="E195" s="1" t="n">
        <v>46316</v>
      </c>
      <c r="F195" t="inlineStr">
        <is>
          <t>SKÅNE LÄN</t>
        </is>
      </c>
      <c r="G195" t="inlineStr">
        <is>
          <t>HÖÖR</t>
        </is>
      </c>
      <c r="I195" t="n">
        <v>1.7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50196-2022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44860</v>
      </c>
      <c r="E196" s="1" t="n">
        <v>46316</v>
      </c>
      <c r="F196" t="inlineStr">
        <is>
          <t>SKÅNE LÄN</t>
        </is>
      </c>
      <c r="G196" t="inlineStr">
        <is>
          <t>HÖÖR</t>
        </is>
      </c>
      <c r="I196" t="n">
        <v>2.8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30951-2023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45113</v>
      </c>
      <c r="E197" s="1" t="n">
        <v>46316</v>
      </c>
      <c r="F197" t="inlineStr">
        <is>
          <t>SKÅNE LÄN</t>
        </is>
      </c>
      <c r="G197" t="inlineStr">
        <is>
          <t>HÖÖR</t>
        </is>
      </c>
      <c r="I197" t="n">
        <v>0.8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50330-2023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45216</v>
      </c>
      <c r="E198" s="1" t="n">
        <v>46316</v>
      </c>
      <c r="F198" t="inlineStr">
        <is>
          <t>SKÅNE LÄN</t>
        </is>
      </c>
      <c r="G198" t="inlineStr">
        <is>
          <t>HÖÖR</t>
        </is>
      </c>
      <c r="I198" t="n">
        <v>1.5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50332-2023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45216</v>
      </c>
      <c r="E199" s="1" t="n">
        <v>46316</v>
      </c>
      <c r="F199" t="inlineStr">
        <is>
          <t>SKÅNE LÄN</t>
        </is>
      </c>
      <c r="G199" t="inlineStr">
        <is>
          <t>HÖÖR</t>
        </is>
      </c>
      <c r="I199" t="n">
        <v>0.9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23005-2024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45450</v>
      </c>
      <c r="E200" s="1" t="n">
        <v>46316</v>
      </c>
      <c r="F200" t="inlineStr">
        <is>
          <t>SKÅNE LÄN</t>
        </is>
      </c>
      <c r="G200" t="inlineStr">
        <is>
          <t>HÖÖR</t>
        </is>
      </c>
      <c r="I200" t="n">
        <v>1.5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28335-2024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45477</v>
      </c>
      <c r="E201" s="1" t="n">
        <v>46316</v>
      </c>
      <c r="F201" t="inlineStr">
        <is>
          <t>SKÅNE LÄN</t>
        </is>
      </c>
      <c r="G201" t="inlineStr">
        <is>
          <t>HÖÖR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34704-2024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45526</v>
      </c>
      <c r="E202" s="1" t="n">
        <v>46316</v>
      </c>
      <c r="F202" t="inlineStr">
        <is>
          <t>SKÅNE LÄN</t>
        </is>
      </c>
      <c r="G202" t="inlineStr">
        <is>
          <t>HÖÖR</t>
        </is>
      </c>
      <c r="I202" t="n">
        <v>0.4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34495-2026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46255</v>
      </c>
      <c r="E203" s="1" t="n">
        <v>46316</v>
      </c>
      <c r="F203" t="inlineStr">
        <is>
          <t>SKÅNE LÄN</t>
        </is>
      </c>
      <c r="G203" t="inlineStr">
        <is>
          <t>HÖÖR</t>
        </is>
      </c>
      <c r="I203" t="n">
        <v>0.9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25795-2026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46178</v>
      </c>
      <c r="E204" s="1" t="n">
        <v>46316</v>
      </c>
      <c r="F204" t="inlineStr">
        <is>
          <t>SKÅNE LÄN</t>
        </is>
      </c>
      <c r="G204" t="inlineStr">
        <is>
          <t>HÖÖR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34494-2026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46255</v>
      </c>
      <c r="E205" s="1" t="n">
        <v>46316</v>
      </c>
      <c r="F205" t="inlineStr">
        <is>
          <t>SKÅNE LÄN</t>
        </is>
      </c>
      <c r="G205" t="inlineStr">
        <is>
          <t>HÖÖR</t>
        </is>
      </c>
      <c r="I205" t="n">
        <v>1.2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34670-2026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46258</v>
      </c>
      <c r="E206" s="1" t="n">
        <v>46316</v>
      </c>
      <c r="F206" t="inlineStr">
        <is>
          <t>SKÅNE LÄN</t>
        </is>
      </c>
      <c r="G206" t="inlineStr">
        <is>
          <t>HÖÖR</t>
        </is>
      </c>
      <c r="I206" t="n">
        <v>1.6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12833-2023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45001</v>
      </c>
      <c r="E207" s="1" t="n">
        <v>46316</v>
      </c>
      <c r="F207" t="inlineStr">
        <is>
          <t>SKÅNE LÄN</t>
        </is>
      </c>
      <c r="G207" t="inlineStr">
        <is>
          <t>HÖÖR</t>
        </is>
      </c>
      <c r="I207" t="n">
        <v>1.6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34870-2026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46258</v>
      </c>
      <c r="E208" s="1" t="n">
        <v>46316</v>
      </c>
      <c r="F208" t="inlineStr">
        <is>
          <t>SKÅNE LÄN</t>
        </is>
      </c>
      <c r="G208" t="inlineStr">
        <is>
          <t>HÖÖR</t>
        </is>
      </c>
      <c r="I208" t="n">
        <v>1.4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37082-2024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45539</v>
      </c>
      <c r="E209" s="1" t="n">
        <v>46316</v>
      </c>
      <c r="F209" t="inlineStr">
        <is>
          <t>SKÅNE LÄN</t>
        </is>
      </c>
      <c r="G209" t="inlineStr">
        <is>
          <t>HÖÖR</t>
        </is>
      </c>
      <c r="I209" t="n">
        <v>0.8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19633-2023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45051</v>
      </c>
      <c r="E210" s="1" t="n">
        <v>46316</v>
      </c>
      <c r="F210" t="inlineStr">
        <is>
          <t>SKÅNE LÄN</t>
        </is>
      </c>
      <c r="G210" t="inlineStr">
        <is>
          <t>HÖÖR</t>
        </is>
      </c>
      <c r="H210" t="inlineStr">
        <is>
          <t>Sveaskog</t>
        </is>
      </c>
      <c r="I210" t="n">
        <v>0.5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36392-2026</t>
        </is>
      </c>
      <c r="B211" t="inlineStr">
        <is>
          <t>avverkningsanmälan</t>
        </is>
      </c>
      <c r="C211" t="inlineStr">
        <is>
          <t>Avverkning för annat ändamål</t>
        </is>
      </c>
      <c r="D211" s="1" t="n">
        <v>46268</v>
      </c>
      <c r="E211" s="1" t="n">
        <v>46316</v>
      </c>
      <c r="F211" t="inlineStr">
        <is>
          <t>SKÅNE LÄN</t>
        </is>
      </c>
      <c r="G211" t="inlineStr">
        <is>
          <t>HÖÖR</t>
        </is>
      </c>
      <c r="I211" t="n">
        <v>2.4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34075-2026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46251</v>
      </c>
      <c r="E212" s="1" t="n">
        <v>46316</v>
      </c>
      <c r="F212" t="inlineStr">
        <is>
          <t>SKÅNE LÄN</t>
        </is>
      </c>
      <c r="G212" t="inlineStr">
        <is>
          <t>HÖÖR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4245-2025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45685</v>
      </c>
      <c r="E213" s="1" t="n">
        <v>46316</v>
      </c>
      <c r="F213" t="inlineStr">
        <is>
          <t>SKÅNE LÄN</t>
        </is>
      </c>
      <c r="G213" t="inlineStr">
        <is>
          <t>HÖÖR</t>
        </is>
      </c>
      <c r="I213" t="n">
        <v>0.3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6589-2025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45700</v>
      </c>
      <c r="E214" s="1" t="n">
        <v>46316</v>
      </c>
      <c r="F214" t="inlineStr">
        <is>
          <t>SKÅNE LÄN</t>
        </is>
      </c>
      <c r="G214" t="inlineStr">
        <is>
          <t>HÖÖR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61011-2023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45261</v>
      </c>
      <c r="E215" s="1" t="n">
        <v>46316</v>
      </c>
      <c r="F215" t="inlineStr">
        <is>
          <t>SKÅNE LÄN</t>
        </is>
      </c>
      <c r="G215" t="inlineStr">
        <is>
          <t>HÖÖR</t>
        </is>
      </c>
      <c r="I215" t="n">
        <v>0.6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35642-2026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46265</v>
      </c>
      <c r="E216" s="1" t="n">
        <v>46316</v>
      </c>
      <c r="F216" t="inlineStr">
        <is>
          <t>SKÅNE LÄN</t>
        </is>
      </c>
      <c r="G216" t="inlineStr">
        <is>
          <t>HÖÖR</t>
        </is>
      </c>
      <c r="I216" t="n">
        <v>2.1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37057-2026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46273</v>
      </c>
      <c r="E217" s="1" t="n">
        <v>46316</v>
      </c>
      <c r="F217" t="inlineStr">
        <is>
          <t>SKÅNE LÄN</t>
        </is>
      </c>
      <c r="G217" t="inlineStr">
        <is>
          <t>HÖÖR</t>
        </is>
      </c>
      <c r="I217" t="n">
        <v>0.5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18246-2023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45041</v>
      </c>
      <c r="E218" s="1" t="n">
        <v>46316</v>
      </c>
      <c r="F218" t="inlineStr">
        <is>
          <t>SKÅNE LÄN</t>
        </is>
      </c>
      <c r="G218" t="inlineStr">
        <is>
          <t>HÖÖR</t>
        </is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4501-2024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45327</v>
      </c>
      <c r="E219" s="1" t="n">
        <v>46316</v>
      </c>
      <c r="F219" t="inlineStr">
        <is>
          <t>SKÅNE LÄN</t>
        </is>
      </c>
      <c r="G219" t="inlineStr">
        <is>
          <t>HÖÖR</t>
        </is>
      </c>
      <c r="I219" t="n">
        <v>1.2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56231-2022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44890</v>
      </c>
      <c r="E220" s="1" t="n">
        <v>46316</v>
      </c>
      <c r="F220" t="inlineStr">
        <is>
          <t>SKÅNE LÄN</t>
        </is>
      </c>
      <c r="G220" t="inlineStr">
        <is>
          <t>HÖÖR</t>
        </is>
      </c>
      <c r="I220" t="n">
        <v>7.7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9701-2023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44984</v>
      </c>
      <c r="E221" s="1" t="n">
        <v>46316</v>
      </c>
      <c r="F221" t="inlineStr">
        <is>
          <t>SKÅNE LÄN</t>
        </is>
      </c>
      <c r="G221" t="inlineStr">
        <is>
          <t>HÖÖR</t>
        </is>
      </c>
      <c r="I221" t="n">
        <v>0.4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7782-2022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44608</v>
      </c>
      <c r="E222" s="1" t="n">
        <v>46316</v>
      </c>
      <c r="F222" t="inlineStr">
        <is>
          <t>SKÅNE LÄN</t>
        </is>
      </c>
      <c r="G222" t="inlineStr">
        <is>
          <t>HÖÖR</t>
        </is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44739-2024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45574</v>
      </c>
      <c r="E223" s="1" t="n">
        <v>46316</v>
      </c>
      <c r="F223" t="inlineStr">
        <is>
          <t>SKÅNE LÄN</t>
        </is>
      </c>
      <c r="G223" t="inlineStr">
        <is>
          <t>HÖÖR</t>
        </is>
      </c>
      <c r="I223" t="n">
        <v>3.1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12025-2025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45728</v>
      </c>
      <c r="E224" s="1" t="n">
        <v>46316</v>
      </c>
      <c r="F224" t="inlineStr">
        <is>
          <t>SKÅNE LÄN</t>
        </is>
      </c>
      <c r="G224" t="inlineStr">
        <is>
          <t>HÖÖR</t>
        </is>
      </c>
      <c r="I224" t="n">
        <v>3.6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54798-2023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45236</v>
      </c>
      <c r="E225" s="1" t="n">
        <v>46316</v>
      </c>
      <c r="F225" t="inlineStr">
        <is>
          <t>SKÅNE LÄN</t>
        </is>
      </c>
      <c r="G225" t="inlineStr">
        <is>
          <t>HÖÖR</t>
        </is>
      </c>
      <c r="I225" t="n">
        <v>1.6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43469-2024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45568</v>
      </c>
      <c r="E226" s="1" t="n">
        <v>46316</v>
      </c>
      <c r="F226" t="inlineStr">
        <is>
          <t>SKÅNE LÄN</t>
        </is>
      </c>
      <c r="G226" t="inlineStr">
        <is>
          <t>HÖÖR</t>
        </is>
      </c>
      <c r="I226" t="n">
        <v>2.3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73544-2021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44551</v>
      </c>
      <c r="E227" s="1" t="n">
        <v>46316</v>
      </c>
      <c r="F227" t="inlineStr">
        <is>
          <t>SKÅNE LÄN</t>
        </is>
      </c>
      <c r="G227" t="inlineStr">
        <is>
          <t>HÖÖR</t>
        </is>
      </c>
      <c r="H227" t="inlineStr">
        <is>
          <t>Övriga statliga verk och myndigheter</t>
        </is>
      </c>
      <c r="I227" t="n">
        <v>4.2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S 2442-2022</t>
        </is>
      </c>
      <c r="B228" t="inlineStr">
        <is>
          <t>samrådsanmälan</t>
        </is>
      </c>
      <c r="C228" t="inlineStr">
        <is>
          <t>Askåterföring</t>
        </is>
      </c>
      <c r="D228" s="1" t="n">
        <v>44691</v>
      </c>
      <c r="E228" s="1" t="n">
        <v>46316</v>
      </c>
      <c r="F228" t="inlineStr">
        <is>
          <t>SKÅNE LÄN</t>
        </is>
      </c>
      <c r="G228" t="inlineStr">
        <is>
          <t>HÖÖR</t>
        </is>
      </c>
      <c r="I228" t="n">
        <v>12.4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S 4383-2023</t>
        </is>
      </c>
      <c r="B229" t="inlineStr">
        <is>
          <t>samrådsanmälan</t>
        </is>
      </c>
      <c r="C229" t="inlineStr">
        <is>
          <t>Askåterföring</t>
        </is>
      </c>
      <c r="D229" s="1" t="n">
        <v>45265</v>
      </c>
      <c r="E229" s="1" t="n">
        <v>46316</v>
      </c>
      <c r="F229" t="inlineStr">
        <is>
          <t>SKÅNE LÄN</t>
        </is>
      </c>
      <c r="G229" t="inlineStr">
        <is>
          <t>HÖÖR</t>
        </is>
      </c>
      <c r="I229" t="n">
        <v>18.9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S 8937-2021</t>
        </is>
      </c>
      <c r="B230" t="inlineStr">
        <is>
          <t>samrådsanmälan</t>
        </is>
      </c>
      <c r="C230" t="inlineStr">
        <is>
          <t>Askåterföring</t>
        </is>
      </c>
      <c r="D230" s="1" t="n">
        <v>44509</v>
      </c>
      <c r="E230" s="1" t="n">
        <v>46316</v>
      </c>
      <c r="F230" t="inlineStr">
        <is>
          <t>SKÅNE LÄN</t>
        </is>
      </c>
      <c r="G230" t="inlineStr">
        <is>
          <t>HÖÖR</t>
        </is>
      </c>
      <c r="I230" t="n">
        <v>35.9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S 3693-2023</t>
        </is>
      </c>
      <c r="B231" t="inlineStr">
        <is>
          <t>samrådsanmälan</t>
        </is>
      </c>
      <c r="C231" t="inlineStr">
        <is>
          <t>Askåterföring</t>
        </is>
      </c>
      <c r="D231" s="1" t="n">
        <v>45218</v>
      </c>
      <c r="E231" s="1" t="n">
        <v>46316</v>
      </c>
      <c r="F231" t="inlineStr">
        <is>
          <t>SKÅNE LÄN</t>
        </is>
      </c>
      <c r="G231" t="inlineStr">
        <is>
          <t>HÖÖR</t>
        </is>
      </c>
      <c r="I231" t="n">
        <v>35.7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S 221-2025</t>
        </is>
      </c>
      <c r="B232" t="inlineStr">
        <is>
          <t>samrådsanmälan</t>
        </is>
      </c>
      <c r="C232" t="inlineStr">
        <is>
          <t>Askåterföring</t>
        </is>
      </c>
      <c r="D232" s="1" t="n">
        <v>45680</v>
      </c>
      <c r="E232" s="1" t="n">
        <v>46316</v>
      </c>
      <c r="F232" t="inlineStr">
        <is>
          <t>SKÅNE LÄN</t>
        </is>
      </c>
      <c r="G232" t="inlineStr">
        <is>
          <t>HÖÖR</t>
        </is>
      </c>
      <c r="I232" t="n">
        <v>13.8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S 3468-2024</t>
        </is>
      </c>
      <c r="B233" t="inlineStr">
        <is>
          <t>samrådsanmälan</t>
        </is>
      </c>
      <c r="C233" t="inlineStr">
        <is>
          <t>Askåterföring</t>
        </is>
      </c>
      <c r="D233" s="1" t="n">
        <v>45539</v>
      </c>
      <c r="E233" s="1" t="n">
        <v>46316</v>
      </c>
      <c r="F233" t="inlineStr">
        <is>
          <t>SKÅNE LÄN</t>
        </is>
      </c>
      <c r="G233" t="inlineStr">
        <is>
          <t>HÖÖR</t>
        </is>
      </c>
      <c r="I233" t="n">
        <v>10.2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S 2441-2023</t>
        </is>
      </c>
      <c r="B234" t="inlineStr">
        <is>
          <t>samrådsanmälan</t>
        </is>
      </c>
      <c r="C234" t="inlineStr">
        <is>
          <t>Askåterföring</t>
        </is>
      </c>
      <c r="D234" s="1" t="n">
        <v>45114</v>
      </c>
      <c r="E234" s="1" t="n">
        <v>46316</v>
      </c>
      <c r="F234" t="inlineStr">
        <is>
          <t>SKÅNE LÄN</t>
        </is>
      </c>
      <c r="G234" t="inlineStr">
        <is>
          <t>HÖÖR</t>
        </is>
      </c>
      <c r="I234" t="n">
        <v>12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S 3794-2024</t>
        </is>
      </c>
      <c r="B235" t="inlineStr">
        <is>
          <t>samrådsanmälan</t>
        </is>
      </c>
      <c r="C235" t="inlineStr">
        <is>
          <t>Annan skogsbruksåtgärd</t>
        </is>
      </c>
      <c r="D235" s="1" t="n">
        <v>45558</v>
      </c>
      <c r="E235" s="1" t="n">
        <v>46316</v>
      </c>
      <c r="F235" t="inlineStr">
        <is>
          <t>SKÅNE LÄN</t>
        </is>
      </c>
      <c r="G235" t="inlineStr">
        <is>
          <t>HÖÖR</t>
        </is>
      </c>
      <c r="H235" t="inlineStr">
        <is>
          <t>Sveaskog</t>
        </is>
      </c>
      <c r="I235" t="n">
        <v>3.2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S 792-2025</t>
        </is>
      </c>
      <c r="B236" t="inlineStr">
        <is>
          <t>samrådsanmälan</t>
        </is>
      </c>
      <c r="C236" t="inlineStr">
        <is>
          <t>Askåterföring</t>
        </is>
      </c>
      <c r="D236" s="1" t="n">
        <v>45729</v>
      </c>
      <c r="E236" s="1" t="n">
        <v>46316</v>
      </c>
      <c r="F236" t="inlineStr">
        <is>
          <t>SKÅNE LÄN</t>
        </is>
      </c>
      <c r="G236" t="inlineStr">
        <is>
          <t>HÖÖR</t>
        </is>
      </c>
      <c r="I236" t="n">
        <v>12.9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S 310-2025</t>
        </is>
      </c>
      <c r="B237" t="inlineStr">
        <is>
          <t>samrådsanmälan</t>
        </is>
      </c>
      <c r="C237" t="inlineStr">
        <is>
          <t>Askåterföring</t>
        </is>
      </c>
      <c r="D237" s="1" t="n">
        <v>45688</v>
      </c>
      <c r="E237" s="1" t="n">
        <v>46316</v>
      </c>
      <c r="F237" t="inlineStr">
        <is>
          <t>SKÅNE LÄN</t>
        </is>
      </c>
      <c r="G237" t="inlineStr">
        <is>
          <t>HÖÖR</t>
        </is>
      </c>
      <c r="I237" t="n">
        <v>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S 1522-2025</t>
        </is>
      </c>
      <c r="B238" t="inlineStr">
        <is>
          <t>samrådsanmälan</t>
        </is>
      </c>
      <c r="C238" t="inlineStr">
        <is>
          <t>Askåterföring</t>
        </is>
      </c>
      <c r="D238" s="1" t="n">
        <v>45791</v>
      </c>
      <c r="E238" s="1" t="n">
        <v>46316</v>
      </c>
      <c r="F238" t="inlineStr">
        <is>
          <t>SKÅNE LÄN</t>
        </is>
      </c>
      <c r="G238" t="inlineStr">
        <is>
          <t>HÖÖR</t>
        </is>
      </c>
      <c r="I238" t="n">
        <v>30.6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S 1063-2026</t>
        </is>
      </c>
      <c r="B239" t="inlineStr">
        <is>
          <t>samrådsanmälan</t>
        </is>
      </c>
      <c r="C239" t="inlineStr">
        <is>
          <t>Askåterföring</t>
        </is>
      </c>
      <c r="D239" s="1" t="n">
        <v>46127</v>
      </c>
      <c r="E239" s="1" t="n">
        <v>46316</v>
      </c>
      <c r="F239" t="inlineStr">
        <is>
          <t>SKÅNE LÄN</t>
        </is>
      </c>
      <c r="G239" t="inlineStr">
        <is>
          <t>HÖÖR</t>
        </is>
      </c>
      <c r="I239" t="n">
        <v>23.5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>
      <c r="A240" t="inlineStr">
        <is>
          <t>S 1492-2026</t>
        </is>
      </c>
      <c r="B240" t="inlineStr">
        <is>
          <t>samrådsanmälan</t>
        </is>
      </c>
      <c r="C240" t="inlineStr">
        <is>
          <t>Askåterföring</t>
        </is>
      </c>
      <c r="D240" s="1" t="n">
        <v>46162</v>
      </c>
      <c r="E240" s="1" t="n">
        <v>46316</v>
      </c>
      <c r="F240" t="inlineStr">
        <is>
          <t>SKÅNE LÄN</t>
        </is>
      </c>
      <c r="G240" t="inlineStr">
        <is>
          <t>HÖÖR</t>
        </is>
      </c>
      <c r="I240" t="n">
        <v>9.699999999999999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2026-10-21T02:06:41Z</dcterms:created>
  <dcterms:modified xmlns:dcterms="http://purl.org/dc/terms/" xmlns:xsi="http://www.w3.org/2001/XMLSchema-instance" xsi:type="dcterms:W3CDTF">2026-10-21T02:06:41Z</dcterms:modified>
</cp:coreProperties>
</file>