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46292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46292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46292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46292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46292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46292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46292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46292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46292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46292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46292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46292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46292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46292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46292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46292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46292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46292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46292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46292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46292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46292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46292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46292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46292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46292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46292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46292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46292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46292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48926-2024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46292</v>
      </c>
      <c r="F33" t="inlineStr">
        <is>
          <t>SKÅNE LÄN</t>
        </is>
      </c>
      <c r="G33" t="inlineStr">
        <is>
          <t>HÖÖR</t>
        </is>
      </c>
      <c r="I33" t="n">
        <v>10.8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HYPERLINK("https://klasma.github.io/Logging_1267/artfynd/A 48926-2024 artfynd.xlsx", "A 48926-2024")</f>
        <v/>
      </c>
      <c r="X33">
        <f>HYPERLINK("https://klasma.github.io/Logging_1267/kartor/A 48926-2024 karta.png", "A 48926-2024")</f>
        <v/>
      </c>
      <c r="Y33">
        <f>HYPERLINK("https://klasma.github.io/Logging_1267/kartor_geotiff/A 48926-2024 georefererad karta.tif", "A 48926-2024")</f>
        <v/>
      </c>
      <c r="AA33">
        <f>HYPERLINK("https://klasma.github.io/Logging_1267/klagomål/A 48926-2024 FSC-klagomål.docx", "A 48926-2024")</f>
        <v/>
      </c>
      <c r="AB33">
        <f>HYPERLINK("https://klasma.github.io/Logging_1267/klagomålsmail/A 48926-2024 FSC-klagomål mail.docx", "A 48926-2024")</f>
        <v/>
      </c>
      <c r="AC33">
        <f>HYPERLINK("https://klasma.github.io/Logging_1267/tillsyn/A 48926-2024 tillsynsbegäran.docx", "A 48926-2024")</f>
        <v/>
      </c>
      <c r="AD33">
        <f>HYPERLINK("https://klasma.github.io/Logging_1267/tillsynsmail/A 48926-2024 tillsynsbegäran mail.docx", "A 48926-2024")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46292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46292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46292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34500-2026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46255</v>
      </c>
      <c r="E37" s="1" t="n">
        <v>46292</v>
      </c>
      <c r="F37" t="inlineStr">
        <is>
          <t>SKÅNE LÄN</t>
        </is>
      </c>
      <c r="G37" t="inlineStr">
        <is>
          <t>HÖÖR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HYPERLINK("https://klasma.github.io/Logging_1267/artfynd/A 34500-2026 artfynd.xlsx", "A 34500-2026")</f>
        <v/>
      </c>
      <c r="X37">
        <f>HYPERLINK("https://klasma.github.io/Logging_1267/kartor/A 34500-2026 karta.png", "A 34500-2026")</f>
        <v/>
      </c>
      <c r="Y37">
        <f>HYPERLINK("https://klasma.github.io/Logging_1267/kartor_geotiff/A 34500-2026 georefererad karta.tif", "A 34500-2026")</f>
        <v/>
      </c>
      <c r="AA37">
        <f>HYPERLINK("https://klasma.github.io/Logging_1267/klagomål/A 34500-2026 FSC-klagomål.docx", "A 34500-2026")</f>
        <v/>
      </c>
      <c r="AB37">
        <f>HYPERLINK("https://klasma.github.io/Logging_1267/klagomålsmail/A 34500-2026 FSC-klagomål mail.docx", "A 34500-2026")</f>
        <v/>
      </c>
      <c r="AC37">
        <f>HYPERLINK("https://klasma.github.io/Logging_1267/tillsyn/A 34500-2026 tillsynsbegäran.docx", "A 34500-2026")</f>
        <v/>
      </c>
      <c r="AD37">
        <f>HYPERLINK("https://klasma.github.io/Logging_1267/tillsynsmail/A 34500-2026 tillsynsbegäran mail.docx", "A 34500-2026")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46292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46292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46292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46292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46292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46292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46292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46292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46292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46292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46292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46292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46292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46292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46292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46292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46292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46292</v>
      </c>
      <c r="F55" t="inlineStr">
        <is>
          <t>SKÅNE LÄN</t>
        </is>
      </c>
      <c r="G55" t="inlineStr">
        <is>
          <t>HÖÖR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46292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46292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46292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46292</v>
      </c>
      <c r="F59" t="inlineStr">
        <is>
          <t>SKÅNE LÄN</t>
        </is>
      </c>
      <c r="G59" t="inlineStr">
        <is>
          <t>HÖÖR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46292</v>
      </c>
      <c r="F60" t="inlineStr">
        <is>
          <t>SKÅNE LÄN</t>
        </is>
      </c>
      <c r="G60" t="inlineStr">
        <is>
          <t>HÖÖR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46292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46292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17723-2023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46292</v>
      </c>
      <c r="F63" t="inlineStr">
        <is>
          <t>SKÅNE LÄN</t>
        </is>
      </c>
      <c r="G63" t="inlineStr">
        <is>
          <t>HÖÖR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56231-2022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44890</v>
      </c>
      <c r="E64" s="1" t="n">
        <v>46292</v>
      </c>
      <c r="F64" t="inlineStr">
        <is>
          <t>SKÅNE LÄN</t>
        </is>
      </c>
      <c r="G64" t="inlineStr">
        <is>
          <t>HÖÖR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46292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46292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46292</v>
      </c>
      <c r="F67" t="inlineStr">
        <is>
          <t>SKÅNE LÄN</t>
        </is>
      </c>
      <c r="G67" t="inlineStr">
        <is>
          <t>HÖÖR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45477</v>
      </c>
      <c r="E68" s="1" t="n">
        <v>46292</v>
      </c>
      <c r="F68" t="inlineStr">
        <is>
          <t>SKÅNE LÄN</t>
        </is>
      </c>
      <c r="G68" t="inlineStr">
        <is>
          <t>HÖÖR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46292</v>
      </c>
      <c r="F69" t="inlineStr">
        <is>
          <t>SKÅNE LÄN</t>
        </is>
      </c>
      <c r="G69" t="inlineStr">
        <is>
          <t>HÖÖR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45323</v>
      </c>
      <c r="E70" s="1" t="n">
        <v>46292</v>
      </c>
      <c r="F70" t="inlineStr">
        <is>
          <t>SKÅNE LÄN</t>
        </is>
      </c>
      <c r="G70" t="inlineStr">
        <is>
          <t>HÖÖR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45945</v>
      </c>
      <c r="E71" s="1" t="n">
        <v>46292</v>
      </c>
      <c r="F71" t="inlineStr">
        <is>
          <t>SKÅNE LÄN</t>
        </is>
      </c>
      <c r="G71" t="inlineStr">
        <is>
          <t>HÖÖR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46292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56941-2025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45978</v>
      </c>
      <c r="E73" s="1" t="n">
        <v>46292</v>
      </c>
      <c r="F73" t="inlineStr">
        <is>
          <t>SKÅNE LÄN</t>
        </is>
      </c>
      <c r="G73" t="inlineStr">
        <is>
          <t>HÖÖR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46292</v>
      </c>
      <c r="F74" t="inlineStr">
        <is>
          <t>SKÅNE LÄN</t>
        </is>
      </c>
      <c r="G74" t="inlineStr">
        <is>
          <t>HÖÖR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46292</v>
      </c>
      <c r="F75" t="inlineStr">
        <is>
          <t>SKÅNE LÄN</t>
        </is>
      </c>
      <c r="G75" t="inlineStr">
        <is>
          <t>HÖÖR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46292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46023</v>
      </c>
      <c r="E77" s="1" t="n">
        <v>46292</v>
      </c>
      <c r="F77" t="inlineStr">
        <is>
          <t>SKÅNE LÄN</t>
        </is>
      </c>
      <c r="G77" t="inlineStr">
        <is>
          <t>HÖÖR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46292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46292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46292</v>
      </c>
      <c r="F80" t="inlineStr">
        <is>
          <t>SKÅNE LÄN</t>
        </is>
      </c>
      <c r="G80" t="inlineStr">
        <is>
          <t>HÖÖR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46292</v>
      </c>
      <c r="F81" t="inlineStr">
        <is>
          <t>SKÅNE LÄN</t>
        </is>
      </c>
      <c r="G81" t="inlineStr">
        <is>
          <t>HÖÖR</t>
        </is>
      </c>
      <c r="I81" t="n">
        <v>12.3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46292</v>
      </c>
      <c r="F82" t="inlineStr">
        <is>
          <t>SKÅNE LÄN</t>
        </is>
      </c>
      <c r="G82" t="inlineStr">
        <is>
          <t>HÖÖR</t>
        </is>
      </c>
      <c r="I82" t="n">
        <v>28.4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60425-2022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44911</v>
      </c>
      <c r="E83" s="1" t="n">
        <v>46292</v>
      </c>
      <c r="F83" t="inlineStr">
        <is>
          <t>SKÅNE LÄN</t>
        </is>
      </c>
      <c r="G83" t="inlineStr">
        <is>
          <t>HÖÖR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46292</v>
      </c>
      <c r="F84" t="inlineStr">
        <is>
          <t>SKÅNE LÄN</t>
        </is>
      </c>
      <c r="G84" t="inlineStr">
        <is>
          <t>HÖÖR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46292</v>
      </c>
      <c r="F85" t="inlineStr">
        <is>
          <t>SKÅNE LÄN</t>
        </is>
      </c>
      <c r="G85" t="inlineStr">
        <is>
          <t>HÖÖR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46292</v>
      </c>
      <c r="F86" t="inlineStr">
        <is>
          <t>SKÅNE LÄN</t>
        </is>
      </c>
      <c r="G86" t="inlineStr">
        <is>
          <t>HÖÖR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46292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46292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61087-2022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44915</v>
      </c>
      <c r="E89" s="1" t="n">
        <v>46292</v>
      </c>
      <c r="F89" t="inlineStr">
        <is>
          <t>SKÅNE LÄN</t>
        </is>
      </c>
      <c r="G89" t="inlineStr">
        <is>
          <t>HÖÖR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31092-2023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45113</v>
      </c>
      <c r="E90" s="1" t="n">
        <v>46292</v>
      </c>
      <c r="F90" t="inlineStr">
        <is>
          <t>SKÅNE LÄN</t>
        </is>
      </c>
      <c r="G90" t="inlineStr">
        <is>
          <t>HÖÖR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46292</v>
      </c>
      <c r="F91" t="inlineStr">
        <is>
          <t>SKÅNE LÄN</t>
        </is>
      </c>
      <c r="G91" t="inlineStr">
        <is>
          <t>HÖÖR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46292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45741</v>
      </c>
      <c r="E93" s="1" t="n">
        <v>46292</v>
      </c>
      <c r="F93" t="inlineStr">
        <is>
          <t>SKÅNE LÄN</t>
        </is>
      </c>
      <c r="G93" t="inlineStr">
        <is>
          <t>HÖÖR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8290-2026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46064</v>
      </c>
      <c r="E94" s="1" t="n">
        <v>46292</v>
      </c>
      <c r="F94" t="inlineStr">
        <is>
          <t>SKÅNE LÄN</t>
        </is>
      </c>
      <c r="G94" t="inlineStr">
        <is>
          <t>HÖÖR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46292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46292</v>
      </c>
      <c r="F96" t="inlineStr">
        <is>
          <t>SKÅNE LÄN</t>
        </is>
      </c>
      <c r="G96" t="inlineStr">
        <is>
          <t>HÖÖR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46292</v>
      </c>
      <c r="F97" t="inlineStr">
        <is>
          <t>SKÅNE LÄN</t>
        </is>
      </c>
      <c r="G97" t="inlineStr">
        <is>
          <t>HÖÖR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46292</v>
      </c>
      <c r="F98" t="inlineStr">
        <is>
          <t>SKÅNE LÄN</t>
        </is>
      </c>
      <c r="G98" t="inlineStr">
        <is>
          <t>HÖÖR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46064</v>
      </c>
      <c r="E99" s="1" t="n">
        <v>46292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46292</v>
      </c>
      <c r="F100" t="inlineStr">
        <is>
          <t>SKÅNE LÄN</t>
        </is>
      </c>
      <c r="G100" t="inlineStr">
        <is>
          <t>HÖÖR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46292</v>
      </c>
      <c r="F101" t="inlineStr">
        <is>
          <t>SKÅNE LÄN</t>
        </is>
      </c>
      <c r="G101" t="inlineStr">
        <is>
          <t>HÖÖR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49780-2025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46292</v>
      </c>
      <c r="F102" t="inlineStr">
        <is>
          <t>SKÅNE LÄN</t>
        </is>
      </c>
      <c r="G102" t="inlineStr">
        <is>
          <t>HÖÖR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7306-2023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44970</v>
      </c>
      <c r="E103" s="1" t="n">
        <v>46292</v>
      </c>
      <c r="F103" t="inlineStr">
        <is>
          <t>SKÅNE LÄN</t>
        </is>
      </c>
      <c r="G103" t="inlineStr">
        <is>
          <t>HÖÖR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46292</v>
      </c>
      <c r="F104" t="inlineStr">
        <is>
          <t>SKÅNE LÄN</t>
        </is>
      </c>
      <c r="G104" t="inlineStr">
        <is>
          <t>HÖÖR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44672</v>
      </c>
      <c r="E105" s="1" t="n">
        <v>46292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44981</v>
      </c>
      <c r="E106" s="1" t="n">
        <v>46292</v>
      </c>
      <c r="F106" t="inlineStr">
        <is>
          <t>SKÅNE LÄN</t>
        </is>
      </c>
      <c r="G106" t="inlineStr">
        <is>
          <t>HÖÖR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46292</v>
      </c>
      <c r="F107" t="inlineStr">
        <is>
          <t>SKÅNE LÄN</t>
        </is>
      </c>
      <c r="G107" t="inlineStr">
        <is>
          <t>HÖÖR</t>
        </is>
      </c>
      <c r="I107" t="n">
        <v>12.3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45315</v>
      </c>
      <c r="E108" s="1" t="n">
        <v>46292</v>
      </c>
      <c r="F108" t="inlineStr">
        <is>
          <t>SKÅNE LÄN</t>
        </is>
      </c>
      <c r="G108" t="inlineStr">
        <is>
          <t>HÖÖR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46292</v>
      </c>
      <c r="F109" t="inlineStr">
        <is>
          <t>SKÅNE LÄN</t>
        </is>
      </c>
      <c r="G109" t="inlineStr">
        <is>
          <t>HÖÖR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46128</v>
      </c>
      <c r="E110" s="1" t="n">
        <v>46292</v>
      </c>
      <c r="F110" t="inlineStr">
        <is>
          <t>SKÅNE LÄN</t>
        </is>
      </c>
      <c r="G110" t="inlineStr">
        <is>
          <t>HÖÖR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17693-2026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46121</v>
      </c>
      <c r="E111" s="1" t="n">
        <v>46292</v>
      </c>
      <c r="F111" t="inlineStr">
        <is>
          <t>SKÅNE LÄN</t>
        </is>
      </c>
      <c r="G111" t="inlineStr">
        <is>
          <t>HÖÖR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46292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46292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46292</v>
      </c>
      <c r="F114" t="inlineStr">
        <is>
          <t>SKÅNE LÄN</t>
        </is>
      </c>
      <c r="G114" t="inlineStr">
        <is>
          <t>HÖÖR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46292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46292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46292</v>
      </c>
      <c r="F117" t="inlineStr">
        <is>
          <t>SKÅNE LÄN</t>
        </is>
      </c>
      <c r="G117" t="inlineStr">
        <is>
          <t>HÖÖR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46292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46292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46292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46292</v>
      </c>
      <c r="F121" t="inlineStr">
        <is>
          <t>SKÅNE LÄN</t>
        </is>
      </c>
      <c r="G121" t="inlineStr">
        <is>
          <t>HÖÖR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46292</v>
      </c>
      <c r="F122" t="inlineStr">
        <is>
          <t>SKÅNE LÄN</t>
        </is>
      </c>
      <c r="G122" t="inlineStr">
        <is>
          <t>HÖÖR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45770</v>
      </c>
      <c r="E123" s="1" t="n">
        <v>46292</v>
      </c>
      <c r="F123" t="inlineStr">
        <is>
          <t>SKÅNE LÄN</t>
        </is>
      </c>
      <c r="G123" t="inlineStr">
        <is>
          <t>HÖÖR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46292</v>
      </c>
      <c r="F124" t="inlineStr">
        <is>
          <t>SKÅNE LÄN</t>
        </is>
      </c>
      <c r="G124" t="inlineStr">
        <is>
          <t>HÖÖR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44838</v>
      </c>
      <c r="E125" s="1" t="n">
        <v>46292</v>
      </c>
      <c r="F125" t="inlineStr">
        <is>
          <t>SKÅNE LÄN</t>
        </is>
      </c>
      <c r="G125" t="inlineStr">
        <is>
          <t>HÖÖR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46292</v>
      </c>
      <c r="F126" t="inlineStr">
        <is>
          <t>SKÅNE LÄN</t>
        </is>
      </c>
      <c r="G126" t="inlineStr">
        <is>
          <t>HÖÖR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65200-2021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44515</v>
      </c>
      <c r="E127" s="1" t="n">
        <v>46292</v>
      </c>
      <c r="F127" t="inlineStr">
        <is>
          <t>SKÅNE LÄN</t>
        </is>
      </c>
      <c r="G127" t="inlineStr">
        <is>
          <t>HÖÖR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46292</v>
      </c>
      <c r="F128" t="inlineStr">
        <is>
          <t>SKÅNE LÄN</t>
        </is>
      </c>
      <c r="G128" t="inlineStr">
        <is>
          <t>HÖÖR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46292</v>
      </c>
      <c r="F129" t="inlineStr">
        <is>
          <t>SKÅNE LÄN</t>
        </is>
      </c>
      <c r="G129" t="inlineStr">
        <is>
          <t>HÖÖR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16110-2024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45406</v>
      </c>
      <c r="E130" s="1" t="n">
        <v>46292</v>
      </c>
      <c r="F130" t="inlineStr">
        <is>
          <t>SKÅNE LÄN</t>
        </is>
      </c>
      <c r="G130" t="inlineStr">
        <is>
          <t>HÖÖR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46292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45315</v>
      </c>
      <c r="E132" s="1" t="n">
        <v>46292</v>
      </c>
      <c r="F132" t="inlineStr">
        <is>
          <t>SKÅNE LÄN</t>
        </is>
      </c>
      <c r="G132" t="inlineStr">
        <is>
          <t>HÖÖR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46292</v>
      </c>
      <c r="F133" t="inlineStr">
        <is>
          <t>SKÅNE LÄN</t>
        </is>
      </c>
      <c r="G133" t="inlineStr">
        <is>
          <t>HÖÖR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46292</v>
      </c>
      <c r="F134" t="inlineStr">
        <is>
          <t>SKÅNE LÄN</t>
        </is>
      </c>
      <c r="G134" t="inlineStr">
        <is>
          <t>HÖÖR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46160</v>
      </c>
      <c r="E135" s="1" t="n">
        <v>46292</v>
      </c>
      <c r="F135" t="inlineStr">
        <is>
          <t>SKÅNE LÄN</t>
        </is>
      </c>
      <c r="G135" t="inlineStr">
        <is>
          <t>HÖÖR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46160</v>
      </c>
      <c r="E136" s="1" t="n">
        <v>46292</v>
      </c>
      <c r="F136" t="inlineStr">
        <is>
          <t>SKÅNE LÄN</t>
        </is>
      </c>
      <c r="G136" t="inlineStr">
        <is>
          <t>HÖÖR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46292</v>
      </c>
      <c r="F137" t="inlineStr">
        <is>
          <t>SKÅNE LÄN</t>
        </is>
      </c>
      <c r="G137" t="inlineStr">
        <is>
          <t>HÖÖR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46292</v>
      </c>
      <c r="F138" t="inlineStr">
        <is>
          <t>SKÅNE LÄN</t>
        </is>
      </c>
      <c r="G138" t="inlineStr">
        <is>
          <t>HÖÖR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45751</v>
      </c>
      <c r="E139" s="1" t="n">
        <v>46292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19633-2023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46292</v>
      </c>
      <c r="F140" t="inlineStr">
        <is>
          <t>SKÅNE LÄN</t>
        </is>
      </c>
      <c r="G140" t="inlineStr">
        <is>
          <t>HÖÖR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46292</v>
      </c>
      <c r="F141" t="inlineStr">
        <is>
          <t>SKÅNE LÄN</t>
        </is>
      </c>
      <c r="G141" t="inlineStr">
        <is>
          <t>HÖÖR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46292</v>
      </c>
      <c r="F142" t="inlineStr">
        <is>
          <t>SKÅNE LÄN</t>
        </is>
      </c>
      <c r="G142" t="inlineStr">
        <is>
          <t>HÖÖR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46292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46292</v>
      </c>
      <c r="F144" t="inlineStr">
        <is>
          <t>SKÅNE LÄN</t>
        </is>
      </c>
      <c r="G144" t="inlineStr">
        <is>
          <t>HÖÖR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46292</v>
      </c>
      <c r="F145" t="inlineStr">
        <is>
          <t>SKÅNE LÄN</t>
        </is>
      </c>
      <c r="G145" t="inlineStr">
        <is>
          <t>HÖÖR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46292</v>
      </c>
      <c r="F146" t="inlineStr">
        <is>
          <t>SKÅNE LÄN</t>
        </is>
      </c>
      <c r="G146" t="inlineStr">
        <is>
          <t>HÖÖR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46292</v>
      </c>
      <c r="F147" t="inlineStr">
        <is>
          <t>SKÅNE LÄN</t>
        </is>
      </c>
      <c r="G147" t="inlineStr">
        <is>
          <t>HÖÖR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46292</v>
      </c>
      <c r="F148" t="inlineStr">
        <is>
          <t>SKÅNE LÄN</t>
        </is>
      </c>
      <c r="G148" t="inlineStr">
        <is>
          <t>HÖÖR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46292</v>
      </c>
      <c r="F149" t="inlineStr">
        <is>
          <t>SKÅNE LÄN</t>
        </is>
      </c>
      <c r="G149" t="inlineStr">
        <is>
          <t>HÖÖR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46292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44608</v>
      </c>
      <c r="E151" s="1" t="n">
        <v>46292</v>
      </c>
      <c r="F151" t="inlineStr">
        <is>
          <t>SKÅNE LÄN</t>
        </is>
      </c>
      <c r="G151" t="inlineStr">
        <is>
          <t>HÖÖR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46292</v>
      </c>
      <c r="F152" t="inlineStr">
        <is>
          <t>SKÅNE LÄN</t>
        </is>
      </c>
      <c r="G152" t="inlineStr">
        <is>
          <t>HÖÖR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45318</v>
      </c>
      <c r="E153" s="1" t="n">
        <v>46292</v>
      </c>
      <c r="F153" t="inlineStr">
        <is>
          <t>SKÅNE LÄN</t>
        </is>
      </c>
      <c r="G153" t="inlineStr">
        <is>
          <t>HÖÖR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46292</v>
      </c>
      <c r="F154" t="inlineStr">
        <is>
          <t>SKÅNE LÄN</t>
        </is>
      </c>
      <c r="G154" t="inlineStr">
        <is>
          <t>HÖÖR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10007-2022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44621</v>
      </c>
      <c r="E155" s="1" t="n">
        <v>46292</v>
      </c>
      <c r="F155" t="inlineStr">
        <is>
          <t>SKÅNE LÄN</t>
        </is>
      </c>
      <c r="G155" t="inlineStr">
        <is>
          <t>HÖÖR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46292</v>
      </c>
      <c r="F156" t="inlineStr">
        <is>
          <t>SKÅNE LÄN</t>
        </is>
      </c>
      <c r="G156" t="inlineStr">
        <is>
          <t>HÖÖR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46292</v>
      </c>
      <c r="F157" t="inlineStr">
        <is>
          <t>SKÅNE LÄN</t>
        </is>
      </c>
      <c r="G157" t="inlineStr">
        <is>
          <t>HÖÖR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46292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46292</v>
      </c>
      <c r="F159" t="inlineStr">
        <is>
          <t>SKÅNE LÄN</t>
        </is>
      </c>
      <c r="G159" t="inlineStr">
        <is>
          <t>HÖÖR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46292</v>
      </c>
      <c r="F160" t="inlineStr">
        <is>
          <t>SKÅNE LÄN</t>
        </is>
      </c>
      <c r="G160" t="inlineStr">
        <is>
          <t>HÖÖR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46292</v>
      </c>
      <c r="F161" t="inlineStr">
        <is>
          <t>SKÅNE LÄN</t>
        </is>
      </c>
      <c r="G161" t="inlineStr">
        <is>
          <t>HÖÖR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46292</v>
      </c>
      <c r="F162" t="inlineStr">
        <is>
          <t>SKÅNE LÄN</t>
        </is>
      </c>
      <c r="G162" t="inlineStr">
        <is>
          <t>HÖÖR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46292</v>
      </c>
      <c r="F163" t="inlineStr">
        <is>
          <t>SKÅNE LÄN</t>
        </is>
      </c>
      <c r="G163" t="inlineStr">
        <is>
          <t>HÖÖR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46292</v>
      </c>
      <c r="F164" t="inlineStr">
        <is>
          <t>SKÅNE LÄN</t>
        </is>
      </c>
      <c r="G164" t="inlineStr">
        <is>
          <t>HÖÖR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46292</v>
      </c>
      <c r="F165" t="inlineStr">
        <is>
          <t>SKÅNE LÄN</t>
        </is>
      </c>
      <c r="G165" t="inlineStr">
        <is>
          <t>HÖÖR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46205</v>
      </c>
      <c r="E166" s="1" t="n">
        <v>46292</v>
      </c>
      <c r="F166" t="inlineStr">
        <is>
          <t>SKÅNE LÄN</t>
        </is>
      </c>
      <c r="G166" t="inlineStr">
        <is>
          <t>HÖÖR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46209</v>
      </c>
      <c r="E167" s="1" t="n">
        <v>46292</v>
      </c>
      <c r="F167" t="inlineStr">
        <is>
          <t>SKÅNE LÄN</t>
        </is>
      </c>
      <c r="G167" t="inlineStr">
        <is>
          <t>HÖÖR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46292</v>
      </c>
      <c r="F168" t="inlineStr">
        <is>
          <t>SKÅNE LÄN</t>
        </is>
      </c>
      <c r="G168" t="inlineStr">
        <is>
          <t>HÖÖR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34495-2026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46292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46258</v>
      </c>
      <c r="E170" s="1" t="n">
        <v>46292</v>
      </c>
      <c r="F170" t="inlineStr">
        <is>
          <t>SKÅNE LÄN</t>
        </is>
      </c>
      <c r="G170" t="inlineStr">
        <is>
          <t>HÖÖR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46292</v>
      </c>
      <c r="F171" t="inlineStr">
        <is>
          <t>SKÅNE LÄN</t>
        </is>
      </c>
      <c r="G171" t="inlineStr">
        <is>
          <t>HÖÖR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44594</v>
      </c>
      <c r="E172" s="1" t="n">
        <v>46292</v>
      </c>
      <c r="F172" t="inlineStr">
        <is>
          <t>SKÅNE LÄN</t>
        </is>
      </c>
      <c r="G172" t="inlineStr">
        <is>
          <t>HÖÖR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45728</v>
      </c>
      <c r="E173" s="1" t="n">
        <v>46292</v>
      </c>
      <c r="F173" t="inlineStr">
        <is>
          <t>SKÅNE LÄN</t>
        </is>
      </c>
      <c r="G173" t="inlineStr">
        <is>
          <t>HÖÖR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46292</v>
      </c>
      <c r="F174" t="inlineStr">
        <is>
          <t>SKÅNE LÄN</t>
        </is>
      </c>
      <c r="G174" t="inlineStr">
        <is>
          <t>HÖÖR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46292</v>
      </c>
      <c r="F175" t="inlineStr">
        <is>
          <t>SKÅNE LÄN</t>
        </is>
      </c>
      <c r="G175" t="inlineStr">
        <is>
          <t>HÖÖR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18345-2022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46292</v>
      </c>
      <c r="F176" t="inlineStr">
        <is>
          <t>SKÅNE LÄN</t>
        </is>
      </c>
      <c r="G176" t="inlineStr">
        <is>
          <t>HÖÖR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46292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46292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44672</v>
      </c>
      <c r="E179" s="1" t="n">
        <v>46292</v>
      </c>
      <c r="F179" t="inlineStr">
        <is>
          <t>SKÅNE LÄN</t>
        </is>
      </c>
      <c r="G179" t="inlineStr">
        <is>
          <t>HÖÖR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44741</v>
      </c>
      <c r="E180" s="1" t="n">
        <v>46292</v>
      </c>
      <c r="F180" t="inlineStr">
        <is>
          <t>SKÅNE LÄN</t>
        </is>
      </c>
      <c r="G180" t="inlineStr">
        <is>
          <t>HÖÖR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36392-2026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46268</v>
      </c>
      <c r="E181" s="1" t="n">
        <v>46292</v>
      </c>
      <c r="F181" t="inlineStr">
        <is>
          <t>SKÅNE LÄN</t>
        </is>
      </c>
      <c r="G181" t="inlineStr">
        <is>
          <t>HÖÖR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46251</v>
      </c>
      <c r="E182" s="1" t="n">
        <v>46292</v>
      </c>
      <c r="F182" t="inlineStr">
        <is>
          <t>SKÅNE LÄN</t>
        </is>
      </c>
      <c r="G182" t="inlineStr">
        <is>
          <t>HÖÖR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46273</v>
      </c>
      <c r="E183" s="1" t="n">
        <v>46292</v>
      </c>
      <c r="F183" t="inlineStr">
        <is>
          <t>SKÅNE LÄN</t>
        </is>
      </c>
      <c r="G183" t="inlineStr">
        <is>
          <t>HÖÖR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44573</v>
      </c>
      <c r="E184" s="1" t="n">
        <v>46292</v>
      </c>
      <c r="F184" t="inlineStr">
        <is>
          <t>SKÅNE LÄN</t>
        </is>
      </c>
      <c r="G184" t="inlineStr">
        <is>
          <t>HÖÖR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46292</v>
      </c>
      <c r="F185" t="inlineStr">
        <is>
          <t>SKÅNE LÄN</t>
        </is>
      </c>
      <c r="G185" t="inlineStr">
        <is>
          <t>HÖÖR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46292</v>
      </c>
      <c r="F186" t="inlineStr">
        <is>
          <t>SKÅNE LÄN</t>
        </is>
      </c>
      <c r="G186" t="inlineStr">
        <is>
          <t>HÖÖR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46292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46292</v>
      </c>
      <c r="F188" t="inlineStr">
        <is>
          <t>SKÅNE LÄN</t>
        </is>
      </c>
      <c r="G188" t="inlineStr">
        <is>
          <t>HÖÖR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46292</v>
      </c>
      <c r="F189" t="inlineStr">
        <is>
          <t>SKÅNE LÄN</t>
        </is>
      </c>
      <c r="G189" t="inlineStr">
        <is>
          <t>HÖÖR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45190</v>
      </c>
      <c r="E190" s="1" t="n">
        <v>46292</v>
      </c>
      <c r="F190" t="inlineStr">
        <is>
          <t>SKÅNE LÄN</t>
        </is>
      </c>
      <c r="G190" t="inlineStr">
        <is>
          <t>HÖÖR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46292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36211-2024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45534</v>
      </c>
      <c r="E192" s="1" t="n">
        <v>46292</v>
      </c>
      <c r="F192" t="inlineStr">
        <is>
          <t>SKÅNE LÄN</t>
        </is>
      </c>
      <c r="G192" t="inlineStr">
        <is>
          <t>HÖÖR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46292</v>
      </c>
      <c r="F193" t="inlineStr">
        <is>
          <t>SKÅNE LÄN</t>
        </is>
      </c>
      <c r="G193" t="inlineStr">
        <is>
          <t>HÖÖR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46292</v>
      </c>
      <c r="F194" t="inlineStr">
        <is>
          <t>SKÅNE LÄN</t>
        </is>
      </c>
      <c r="G194" t="inlineStr">
        <is>
          <t>HÖÖR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45005</v>
      </c>
      <c r="E195" s="1" t="n">
        <v>46292</v>
      </c>
      <c r="F195" t="inlineStr">
        <is>
          <t>SKÅNE LÄN</t>
        </is>
      </c>
      <c r="G195" t="inlineStr">
        <is>
          <t>HÖÖR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46292</v>
      </c>
      <c r="F196" t="inlineStr">
        <is>
          <t>SKÅNE LÄN</t>
        </is>
      </c>
      <c r="G196" t="inlineStr">
        <is>
          <t>HÖÖR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46292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46292</v>
      </c>
      <c r="F198" t="inlineStr">
        <is>
          <t>SKÅNE LÄN</t>
        </is>
      </c>
      <c r="G198" t="inlineStr">
        <is>
          <t>HÖÖR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46279</v>
      </c>
      <c r="E199" s="1" t="n">
        <v>46292</v>
      </c>
      <c r="F199" t="inlineStr">
        <is>
          <t>SKÅNE LÄN</t>
        </is>
      </c>
      <c r="G199" t="inlineStr">
        <is>
          <t>HÖÖR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46265</v>
      </c>
      <c r="E200" s="1" t="n">
        <v>46292</v>
      </c>
      <c r="F200" t="inlineStr">
        <is>
          <t>SKÅNE LÄN</t>
        </is>
      </c>
      <c r="G200" t="inlineStr">
        <is>
          <t>HÖÖR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46292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45061</v>
      </c>
      <c r="E202" s="1" t="n">
        <v>46292</v>
      </c>
      <c r="F202" t="inlineStr">
        <is>
          <t>SKÅNE LÄN</t>
        </is>
      </c>
      <c r="G202" t="inlineStr">
        <is>
          <t>HÖÖR</t>
        </is>
      </c>
      <c r="H202" t="inlineStr">
        <is>
          <t>Sveaskog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46292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44734</v>
      </c>
      <c r="E204" s="1" t="n">
        <v>46292</v>
      </c>
      <c r="F204" t="inlineStr">
        <is>
          <t>SKÅNE LÄN</t>
        </is>
      </c>
      <c r="G204" t="inlineStr">
        <is>
          <t>HÖÖR</t>
        </is>
      </c>
      <c r="H204" t="inlineStr">
        <is>
          <t>Övriga statliga verk och myndigheter</t>
        </is>
      </c>
      <c r="I204" t="n">
        <v>9.300000000000001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46292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46292</v>
      </c>
      <c r="F206" t="inlineStr">
        <is>
          <t>SKÅNE LÄN</t>
        </is>
      </c>
      <c r="G206" t="inlineStr">
        <is>
          <t>HÖÖR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46292</v>
      </c>
      <c r="F207" t="inlineStr">
        <is>
          <t>SKÅNE LÄN</t>
        </is>
      </c>
      <c r="G207" t="inlineStr">
        <is>
          <t>HÖÖR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45057</v>
      </c>
      <c r="E208" s="1" t="n">
        <v>46292</v>
      </c>
      <c r="F208" t="inlineStr">
        <is>
          <t>SKÅNE LÄN</t>
        </is>
      </c>
      <c r="G208" t="inlineStr">
        <is>
          <t>HÖÖR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46292</v>
      </c>
      <c r="F209" t="inlineStr">
        <is>
          <t>SKÅNE LÄN</t>
        </is>
      </c>
      <c r="G209" t="inlineStr">
        <is>
          <t>HÖÖR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46292</v>
      </c>
      <c r="F210" t="inlineStr">
        <is>
          <t>SKÅNE LÄN</t>
        </is>
      </c>
      <c r="G210" t="inlineStr">
        <is>
          <t>HÖÖR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63268-2023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45273</v>
      </c>
      <c r="E211" s="1" t="n">
        <v>46292</v>
      </c>
      <c r="F211" t="inlineStr">
        <is>
          <t>SKÅNE LÄN</t>
        </is>
      </c>
      <c r="G211" t="inlineStr">
        <is>
          <t>HÖÖR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46292</v>
      </c>
      <c r="F212" t="inlineStr">
        <is>
          <t>SKÅNE LÄN</t>
        </is>
      </c>
      <c r="G212" t="inlineStr">
        <is>
          <t>HÖÖR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46292</v>
      </c>
      <c r="F213" t="inlineStr">
        <is>
          <t>SKÅNE LÄN</t>
        </is>
      </c>
      <c r="G213" t="inlineStr">
        <is>
          <t>HÖÖR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46292</v>
      </c>
      <c r="F214" t="inlineStr">
        <is>
          <t>SKÅNE LÄN</t>
        </is>
      </c>
      <c r="G214" t="inlineStr">
        <is>
          <t>HÖÖR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45041</v>
      </c>
      <c r="E215" s="1" t="n">
        <v>46292</v>
      </c>
      <c r="F215" t="inlineStr">
        <is>
          <t>SKÅNE LÄN</t>
        </is>
      </c>
      <c r="G215" t="inlineStr">
        <is>
          <t>HÖÖR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45327</v>
      </c>
      <c r="E216" s="1" t="n">
        <v>46292</v>
      </c>
      <c r="F216" t="inlineStr">
        <is>
          <t>SKÅNE LÄN</t>
        </is>
      </c>
      <c r="G216" t="inlineStr">
        <is>
          <t>HÖÖR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46292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46292</v>
      </c>
      <c r="F218" t="inlineStr">
        <is>
          <t>SKÅNE LÄN</t>
        </is>
      </c>
      <c r="G218" t="inlineStr">
        <is>
          <t>HÖÖR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46292</v>
      </c>
      <c r="F219" t="inlineStr">
        <is>
          <t>SKÅNE LÄN</t>
        </is>
      </c>
      <c r="G219" t="inlineStr">
        <is>
          <t>HÖÖR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46292</v>
      </c>
      <c r="F220" t="inlineStr">
        <is>
          <t>SKÅNE LÄN</t>
        </is>
      </c>
      <c r="G220" t="inlineStr">
        <is>
          <t>HÖÖR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46292</v>
      </c>
      <c r="F221" t="inlineStr">
        <is>
          <t>SKÅNE LÄN</t>
        </is>
      </c>
      <c r="G221" t="inlineStr">
        <is>
          <t>HÖÖR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46292</v>
      </c>
      <c r="F222" t="inlineStr">
        <is>
          <t>SKÅNE LÄN</t>
        </is>
      </c>
      <c r="G222" t="inlineStr">
        <is>
          <t>HÖÖR</t>
        </is>
      </c>
      <c r="H222" t="inlineStr">
        <is>
          <t>Övriga statliga verk och myndigheter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46292</v>
      </c>
      <c r="F223" t="inlineStr">
        <is>
          <t>SKÅNE LÄN</t>
        </is>
      </c>
      <c r="G223" t="inlineStr">
        <is>
          <t>HÖÖR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46292</v>
      </c>
      <c r="F224" t="inlineStr">
        <is>
          <t>SKÅNE LÄN</t>
        </is>
      </c>
      <c r="G224" t="inlineStr">
        <is>
          <t>HÖÖR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45471</v>
      </c>
      <c r="E225" s="1" t="n">
        <v>46292</v>
      </c>
      <c r="F225" t="inlineStr">
        <is>
          <t>SKÅNE LÄN</t>
        </is>
      </c>
      <c r="G225" t="inlineStr">
        <is>
          <t>HÖÖR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46292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61019-2024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45645</v>
      </c>
      <c r="E227" s="1" t="n">
        <v>46292</v>
      </c>
      <c r="F227" t="inlineStr">
        <is>
          <t>SKÅNE LÄN</t>
        </is>
      </c>
      <c r="G227" t="inlineStr">
        <is>
          <t>HÖÖR</t>
        </is>
      </c>
      <c r="H227" t="inlineStr">
        <is>
          <t>Kommuner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46292</v>
      </c>
      <c r="F228" t="inlineStr">
        <is>
          <t>SKÅNE LÄN</t>
        </is>
      </c>
      <c r="G228" t="inlineStr">
        <is>
          <t>HÖÖR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46292</v>
      </c>
      <c r="F229" t="inlineStr">
        <is>
          <t>SKÅNE LÄN</t>
        </is>
      </c>
      <c r="G229" t="inlineStr">
        <is>
          <t>HÖÖR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46292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46292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46292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46292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46292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46292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46292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46292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46292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46292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46292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46292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46292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2026-09-27T02:03:34Z</dcterms:created>
  <dcterms:modified xmlns:dcterms="http://purl.org/dc/terms/" xmlns:xsi="http://www.w3.org/2001/XMLSchema-instance" xsi:type="dcterms:W3CDTF">2026-09-27T02:03:34Z</dcterms:modified>
</cp:coreProperties>
</file>