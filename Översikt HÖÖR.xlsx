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46233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46233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46233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46233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46233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46233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46233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46233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46233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46233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46233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46233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46233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46233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46233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46233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46233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46233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46233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46233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46233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46233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46233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46233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27233-2022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46233</v>
      </c>
      <c r="F38" t="inlineStr">
        <is>
          <t>SKÅNE LÄN</t>
        </is>
      </c>
      <c r="G38" t="inlineStr">
        <is>
          <t>HÖÖR</t>
        </is>
      </c>
      <c r="I38" t="n">
        <v>5.4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HYPERLINK("https://klasma.github.io/Logging_1267/artfynd/A 27233-2022 artfynd.xlsx", "A 27233-2022")</f>
        <v/>
      </c>
      <c r="X38">
        <f>HYPERLINK("https://klasma.github.io/Logging_1267/kartor/A 27233-2022 karta.png", "A 27233-2022")</f>
        <v/>
      </c>
      <c r="Y38">
        <f>HYPERLINK("https://klasma.github.io/Logging_1267/kartor_geotiff/A 27233-2022 georefererad karta.tif", "A 27233-2022")</f>
        <v/>
      </c>
      <c r="AA38">
        <f>HYPERLINK("https://klasma.github.io/Logging_1267/klagomål/A 27233-2022 FSC-klagomål.docx", "A 27233-2022")</f>
        <v/>
      </c>
      <c r="AB38">
        <f>HYPERLINK("https://klasma.github.io/Logging_1267/klagomålsmail/A 27233-2022 FSC-klagomål mail.docx", "A 27233-2022")</f>
        <v/>
      </c>
      <c r="AC38">
        <f>HYPERLINK("https://klasma.github.io/Logging_1267/tillsyn/A 27233-2022 tillsynsbegäran.docx", "A 27233-2022")</f>
        <v/>
      </c>
      <c r="AD38">
        <f>HYPERLINK("https://klasma.github.io/Logging_1267/tillsynsmail/A 27233-2022 tillsynsbegäran mail.docx", "A 27233-2022")</f>
        <v/>
      </c>
    </row>
    <row r="39" ht="15" customHeight="1">
      <c r="A39" t="inlineStr">
        <is>
          <t>A 42053-2023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46233</v>
      </c>
      <c r="F39" t="inlineStr">
        <is>
          <t>SKÅNE LÄN</t>
        </is>
      </c>
      <c r="G39" t="inlineStr">
        <is>
          <t>HÖÖR</t>
        </is>
      </c>
      <c r="I39" t="n">
        <v>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HYPERLINK("https://klasma.github.io/Logging_1267/artfynd/A 42053-2023 artfynd.xlsx", "A 42053-2023")</f>
        <v/>
      </c>
      <c r="X39">
        <f>HYPERLINK("https://klasma.github.io/Logging_1267/kartor/A 42053-2023 karta.png", "A 42053-2023")</f>
        <v/>
      </c>
      <c r="Y39">
        <f>HYPERLINK("https://klasma.github.io/Logging_1267/kartor_geotiff/A 42053-2023 georefererad karta.tif", "A 42053-2023")</f>
        <v/>
      </c>
      <c r="AA39">
        <f>HYPERLINK("https://klasma.github.io/Logging_1267/klagomål/A 42053-2023 FSC-klagomål.docx", "A 42053-2023")</f>
        <v/>
      </c>
      <c r="AB39">
        <f>HYPERLINK("https://klasma.github.io/Logging_1267/klagomålsmail/A 42053-2023 FSC-klagomål mail.docx", "A 42053-2023")</f>
        <v/>
      </c>
      <c r="AC39">
        <f>HYPERLINK("https://klasma.github.io/Logging_1267/tillsyn/A 42053-2023 tillsynsbegäran.docx", "A 42053-2023")</f>
        <v/>
      </c>
      <c r="AD39">
        <f>HYPERLINK("https://klasma.github.io/Logging_1267/tillsynsmail/A 42053-2023 tillsynsbegäran mail.docx", "A 42053-2023")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46233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46233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46233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46233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46233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46233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46233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46233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46233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46233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46233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46233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46233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46233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46233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46233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46233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46233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46233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46233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46233</v>
      </c>
      <c r="F60" t="inlineStr">
        <is>
          <t>SKÅNE LÄN</t>
        </is>
      </c>
      <c r="G60" t="inlineStr">
        <is>
          <t>HÖÖR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45236</v>
      </c>
      <c r="E61" s="1" t="n">
        <v>46233</v>
      </c>
      <c r="F61" t="inlineStr">
        <is>
          <t>SKÅNE LÄN</t>
        </is>
      </c>
      <c r="G61" t="inlineStr">
        <is>
          <t>HÖÖR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46233</v>
      </c>
      <c r="F62" t="inlineStr">
        <is>
          <t>SKÅNE LÄN</t>
        </is>
      </c>
      <c r="G62" t="inlineStr">
        <is>
          <t>HÖÖR</t>
        </is>
      </c>
      <c r="H62" t="inlineStr">
        <is>
          <t>Övriga statliga verk och myndigheter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46233</v>
      </c>
      <c r="F63" t="inlineStr">
        <is>
          <t>SKÅNE LÄN</t>
        </is>
      </c>
      <c r="G63" t="inlineStr">
        <is>
          <t>HÖÖR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44888</v>
      </c>
      <c r="E64" s="1" t="n">
        <v>46233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46233</v>
      </c>
      <c r="F65" t="inlineStr">
        <is>
          <t>SKÅNE LÄN</t>
        </is>
      </c>
      <c r="G65" t="inlineStr">
        <is>
          <t>HÖÖR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46233</v>
      </c>
      <c r="F66" t="inlineStr">
        <is>
          <t>SKÅNE LÄN</t>
        </is>
      </c>
      <c r="G66" t="inlineStr">
        <is>
          <t>HÖÖR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46233</v>
      </c>
      <c r="F67" t="inlineStr">
        <is>
          <t>SKÅNE LÄN</t>
        </is>
      </c>
      <c r="G67" t="inlineStr">
        <is>
          <t>HÖÖR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43891-2022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44838</v>
      </c>
      <c r="E68" s="1" t="n">
        <v>46233</v>
      </c>
      <c r="F68" t="inlineStr">
        <is>
          <t>SKÅNE LÄN</t>
        </is>
      </c>
      <c r="G68" t="inlineStr">
        <is>
          <t>HÖÖR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44890</v>
      </c>
      <c r="E69" s="1" t="n">
        <v>46233</v>
      </c>
      <c r="F69" t="inlineStr">
        <is>
          <t>SKÅNE LÄN</t>
        </is>
      </c>
      <c r="G69" t="inlineStr">
        <is>
          <t>HÖÖR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45398</v>
      </c>
      <c r="E70" s="1" t="n">
        <v>46233</v>
      </c>
      <c r="F70" t="inlineStr">
        <is>
          <t>SKÅNE LÄN</t>
        </is>
      </c>
      <c r="G70" t="inlineStr">
        <is>
          <t>HÖÖR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15657-2025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46233</v>
      </c>
      <c r="F71" t="inlineStr">
        <is>
          <t>SKÅNE LÄN</t>
        </is>
      </c>
      <c r="G71" t="inlineStr">
        <is>
          <t>HÖÖR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46233</v>
      </c>
      <c r="F72" t="inlineStr">
        <is>
          <t>SKÅNE LÄN</t>
        </is>
      </c>
      <c r="G72" t="inlineStr">
        <is>
          <t>HÖÖR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46233</v>
      </c>
      <c r="F73" t="inlineStr">
        <is>
          <t>SKÅNE LÄN</t>
        </is>
      </c>
      <c r="G73" t="inlineStr">
        <is>
          <t>HÖÖR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15905-2024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45405</v>
      </c>
      <c r="E74" s="1" t="n">
        <v>46233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45323</v>
      </c>
      <c r="E75" s="1" t="n">
        <v>46233</v>
      </c>
      <c r="F75" t="inlineStr">
        <is>
          <t>SKÅNE LÄN</t>
        </is>
      </c>
      <c r="G75" t="inlineStr">
        <is>
          <t>HÖÖR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46233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46233</v>
      </c>
      <c r="F77" t="inlineStr">
        <is>
          <t>SKÅNE LÄN</t>
        </is>
      </c>
      <c r="G77" t="inlineStr">
        <is>
          <t>HÖÖR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46233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46233</v>
      </c>
      <c r="F79" t="inlineStr">
        <is>
          <t>SKÅNE LÄN</t>
        </is>
      </c>
      <c r="G79" t="inlineStr">
        <is>
          <t>HÖÖR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46233</v>
      </c>
      <c r="F80" t="inlineStr">
        <is>
          <t>SKÅNE LÄN</t>
        </is>
      </c>
      <c r="G80" t="inlineStr">
        <is>
          <t>HÖÖR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46233</v>
      </c>
      <c r="F81" t="inlineStr">
        <is>
          <t>SKÅNE LÄN</t>
        </is>
      </c>
      <c r="G81" t="inlineStr">
        <is>
          <t>HÖÖR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45807</v>
      </c>
      <c r="E82" s="1" t="n">
        <v>46233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46038</v>
      </c>
      <c r="E83" s="1" t="n">
        <v>46233</v>
      </c>
      <c r="F83" t="inlineStr">
        <is>
          <t>SKÅNE LÄN</t>
        </is>
      </c>
      <c r="G83" t="inlineStr">
        <is>
          <t>HÖÖR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31092-2023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45113</v>
      </c>
      <c r="E84" s="1" t="n">
        <v>46233</v>
      </c>
      <c r="F84" t="inlineStr">
        <is>
          <t>SKÅNE LÄN</t>
        </is>
      </c>
      <c r="G84" t="inlineStr">
        <is>
          <t>HÖÖR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46233</v>
      </c>
      <c r="F85" t="inlineStr">
        <is>
          <t>SKÅNE LÄN</t>
        </is>
      </c>
      <c r="G85" t="inlineStr">
        <is>
          <t>HÖÖR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46233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40083-2025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46233</v>
      </c>
      <c r="F87" t="inlineStr">
        <is>
          <t>SKÅNE LÄN</t>
        </is>
      </c>
      <c r="G87" t="inlineStr">
        <is>
          <t>HÖÖR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14554-2025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46233</v>
      </c>
      <c r="F88" t="inlineStr">
        <is>
          <t>SKÅNE LÄN</t>
        </is>
      </c>
      <c r="G88" t="inlineStr">
        <is>
          <t>HÖÖR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46233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45574</v>
      </c>
      <c r="E90" s="1" t="n">
        <v>46233</v>
      </c>
      <c r="F90" t="inlineStr">
        <is>
          <t>SKÅNE LÄN</t>
        </is>
      </c>
      <c r="G90" t="inlineStr">
        <is>
          <t>HÖÖR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46233</v>
      </c>
      <c r="F91" t="inlineStr">
        <is>
          <t>SKÅNE LÄN</t>
        </is>
      </c>
      <c r="G91" t="inlineStr">
        <is>
          <t>HÖÖR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45709</v>
      </c>
      <c r="E92" s="1" t="n">
        <v>46233</v>
      </c>
      <c r="F92" t="inlineStr">
        <is>
          <t>SKÅNE LÄN</t>
        </is>
      </c>
      <c r="G92" t="inlineStr">
        <is>
          <t>HÖÖR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45824</v>
      </c>
      <c r="E93" s="1" t="n">
        <v>46233</v>
      </c>
      <c r="F93" t="inlineStr">
        <is>
          <t>SKÅNE LÄN</t>
        </is>
      </c>
      <c r="G93" t="inlineStr">
        <is>
          <t>HÖÖR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46233</v>
      </c>
      <c r="F94" t="inlineStr">
        <is>
          <t>SKÅNE LÄN</t>
        </is>
      </c>
      <c r="G94" t="inlineStr">
        <is>
          <t>HÖÖR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46233</v>
      </c>
      <c r="F95" t="inlineStr">
        <is>
          <t>SKÅNE LÄN</t>
        </is>
      </c>
      <c r="G95" t="inlineStr">
        <is>
          <t>HÖÖR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7306-2023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44970</v>
      </c>
      <c r="E96" s="1" t="n">
        <v>46233</v>
      </c>
      <c r="F96" t="inlineStr">
        <is>
          <t>SKÅNE LÄN</t>
        </is>
      </c>
      <c r="G96" t="inlineStr">
        <is>
          <t>HÖÖR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46233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46233</v>
      </c>
      <c r="F98" t="inlineStr">
        <is>
          <t>SKÅNE LÄN</t>
        </is>
      </c>
      <c r="G98" t="inlineStr">
        <is>
          <t>HÖÖR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46233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46233</v>
      </c>
      <c r="F100" t="inlineStr">
        <is>
          <t>SKÅNE LÄN</t>
        </is>
      </c>
      <c r="G100" t="inlineStr">
        <is>
          <t>HÖÖR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44672</v>
      </c>
      <c r="E101" s="1" t="n">
        <v>46233</v>
      </c>
      <c r="F101" t="inlineStr">
        <is>
          <t>SKÅNE LÄN</t>
        </is>
      </c>
      <c r="G101" t="inlineStr">
        <is>
          <t>HÖÖR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44420</v>
      </c>
      <c r="E102" s="1" t="n">
        <v>46233</v>
      </c>
      <c r="F102" t="inlineStr">
        <is>
          <t>SKÅNE LÄN</t>
        </is>
      </c>
      <c r="G102" t="inlineStr">
        <is>
          <t>HÖÖR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46233</v>
      </c>
      <c r="F103" t="inlineStr">
        <is>
          <t>SKÅNE LÄN</t>
        </is>
      </c>
      <c r="G103" t="inlineStr">
        <is>
          <t>HÖÖR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46233</v>
      </c>
      <c r="F104" t="inlineStr">
        <is>
          <t>SKÅNE LÄN</t>
        </is>
      </c>
      <c r="G104" t="inlineStr">
        <is>
          <t>HÖÖR</t>
        </is>
      </c>
      <c r="I104" t="n">
        <v>12.3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46233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46233</v>
      </c>
      <c r="F106" t="inlineStr">
        <is>
          <t>SKÅNE LÄN</t>
        </is>
      </c>
      <c r="G106" t="inlineStr">
        <is>
          <t>HÖÖR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46233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46233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14515-2023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46233</v>
      </c>
      <c r="F109" t="inlineStr">
        <is>
          <t>SKÅNE LÄN</t>
        </is>
      </c>
      <c r="G109" t="inlineStr">
        <is>
          <t>HÖÖR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12855-2023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45001</v>
      </c>
      <c r="E110" s="1" t="n">
        <v>46233</v>
      </c>
      <c r="F110" t="inlineStr">
        <is>
          <t>SKÅNE LÄN</t>
        </is>
      </c>
      <c r="G110" t="inlineStr">
        <is>
          <t>HÖÖR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8290-2026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46064</v>
      </c>
      <c r="E111" s="1" t="n">
        <v>46233</v>
      </c>
      <c r="F111" t="inlineStr">
        <is>
          <t>SKÅNE LÄN</t>
        </is>
      </c>
      <c r="G111" t="inlineStr">
        <is>
          <t>HÖÖR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46233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46233</v>
      </c>
      <c r="F113" t="inlineStr">
        <is>
          <t>SKÅNE LÄN</t>
        </is>
      </c>
      <c r="G113" t="inlineStr">
        <is>
          <t>HÖÖR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46233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46233</v>
      </c>
      <c r="F115" t="inlineStr">
        <is>
          <t>SKÅNE LÄN</t>
        </is>
      </c>
      <c r="G115" t="inlineStr">
        <is>
          <t>HÖÖR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46233</v>
      </c>
      <c r="F116" t="inlineStr">
        <is>
          <t>SKÅNE LÄN</t>
        </is>
      </c>
      <c r="G116" t="inlineStr">
        <is>
          <t>HÖÖR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45987</v>
      </c>
      <c r="E117" s="1" t="n">
        <v>46233</v>
      </c>
      <c r="F117" t="inlineStr">
        <is>
          <t>SKÅNE LÄN</t>
        </is>
      </c>
      <c r="G117" t="inlineStr">
        <is>
          <t>HÖÖR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46233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16969-2025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46233</v>
      </c>
      <c r="F119" t="inlineStr">
        <is>
          <t>SKÅNE LÄN</t>
        </is>
      </c>
      <c r="G119" t="inlineStr">
        <is>
          <t>HÖÖR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44838</v>
      </c>
      <c r="E120" s="1" t="n">
        <v>46233</v>
      </c>
      <c r="F120" t="inlineStr">
        <is>
          <t>SKÅNE LÄN</t>
        </is>
      </c>
      <c r="G120" t="inlineStr">
        <is>
          <t>HÖÖR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46233</v>
      </c>
      <c r="F121" t="inlineStr">
        <is>
          <t>SKÅNE LÄN</t>
        </is>
      </c>
      <c r="G121" t="inlineStr">
        <is>
          <t>HÖÖR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46233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46233</v>
      </c>
      <c r="F123" t="inlineStr">
        <is>
          <t>SKÅNE LÄN</t>
        </is>
      </c>
      <c r="G123" t="inlineStr">
        <is>
          <t>HÖÖR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65200-2021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44515</v>
      </c>
      <c r="E124" s="1" t="n">
        <v>46233</v>
      </c>
      <c r="F124" t="inlineStr">
        <is>
          <t>SKÅNE LÄN</t>
        </is>
      </c>
      <c r="G124" t="inlineStr">
        <is>
          <t>HÖÖR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46233</v>
      </c>
      <c r="F125" t="inlineStr">
        <is>
          <t>SKÅNE LÄN</t>
        </is>
      </c>
      <c r="G125" t="inlineStr">
        <is>
          <t>HÖÖR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46233</v>
      </c>
      <c r="F126" t="inlineStr">
        <is>
          <t>SKÅNE LÄN</t>
        </is>
      </c>
      <c r="G126" t="inlineStr">
        <is>
          <t>HÖÖR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16110-2024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45406</v>
      </c>
      <c r="E127" s="1" t="n">
        <v>46233</v>
      </c>
      <c r="F127" t="inlineStr">
        <is>
          <t>SKÅNE LÄN</t>
        </is>
      </c>
      <c r="G127" t="inlineStr">
        <is>
          <t>HÖÖR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46233</v>
      </c>
      <c r="F128" t="inlineStr">
        <is>
          <t>SKÅNE LÄN</t>
        </is>
      </c>
      <c r="G128" t="inlineStr">
        <is>
          <t>HÖÖR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45770</v>
      </c>
      <c r="E129" s="1" t="n">
        <v>46233</v>
      </c>
      <c r="F129" t="inlineStr">
        <is>
          <t>SKÅNE LÄN</t>
        </is>
      </c>
      <c r="G129" t="inlineStr">
        <is>
          <t>HÖÖR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46233</v>
      </c>
      <c r="F130" t="inlineStr">
        <is>
          <t>SKÅNE LÄN</t>
        </is>
      </c>
      <c r="G130" t="inlineStr">
        <is>
          <t>HÖÖR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45093</v>
      </c>
      <c r="E131" s="1" t="n">
        <v>46233</v>
      </c>
      <c r="F131" t="inlineStr">
        <is>
          <t>SKÅNE LÄN</t>
        </is>
      </c>
      <c r="G131" t="inlineStr">
        <is>
          <t>HÖÖR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46233</v>
      </c>
      <c r="F132" t="inlineStr">
        <is>
          <t>SKÅNE LÄN</t>
        </is>
      </c>
      <c r="G132" t="inlineStr">
        <is>
          <t>HÖÖR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46233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45978</v>
      </c>
      <c r="E134" s="1" t="n">
        <v>46233</v>
      </c>
      <c r="F134" t="inlineStr">
        <is>
          <t>SKÅNE LÄN</t>
        </is>
      </c>
      <c r="G134" t="inlineStr">
        <is>
          <t>HÖÖR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46023</v>
      </c>
      <c r="E135" s="1" t="n">
        <v>46233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46023</v>
      </c>
      <c r="E136" s="1" t="n">
        <v>46233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46233</v>
      </c>
      <c r="F137" t="inlineStr">
        <is>
          <t>SKÅNE LÄN</t>
        </is>
      </c>
      <c r="G137" t="inlineStr">
        <is>
          <t>HÖÖR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45751</v>
      </c>
      <c r="E138" s="1" t="n">
        <v>46233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19633-2023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46233</v>
      </c>
      <c r="F139" t="inlineStr">
        <is>
          <t>SKÅNE LÄN</t>
        </is>
      </c>
      <c r="G139" t="inlineStr">
        <is>
          <t>HÖÖR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46233</v>
      </c>
      <c r="F140" t="inlineStr">
        <is>
          <t>SKÅNE LÄN</t>
        </is>
      </c>
      <c r="G140" t="inlineStr">
        <is>
          <t>HÖÖR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46233</v>
      </c>
      <c r="F141" t="inlineStr">
        <is>
          <t>SKÅNE LÄN</t>
        </is>
      </c>
      <c r="G141" t="inlineStr">
        <is>
          <t>HÖÖR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17693-2026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46121</v>
      </c>
      <c r="E142" s="1" t="n">
        <v>46233</v>
      </c>
      <c r="F142" t="inlineStr">
        <is>
          <t>SKÅNE LÄN</t>
        </is>
      </c>
      <c r="G142" t="inlineStr">
        <is>
          <t>HÖÖR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46233</v>
      </c>
      <c r="F143" t="inlineStr">
        <is>
          <t>SKÅNE LÄN</t>
        </is>
      </c>
      <c r="G143" t="inlineStr">
        <is>
          <t>HÖÖR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46136</v>
      </c>
      <c r="E144" s="1" t="n">
        <v>46233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46233</v>
      </c>
      <c r="F145" t="inlineStr">
        <is>
          <t>SKÅNE LÄN</t>
        </is>
      </c>
      <c r="G145" t="inlineStr">
        <is>
          <t>HÖÖR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46064</v>
      </c>
      <c r="E146" s="1" t="n">
        <v>46233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45343</v>
      </c>
      <c r="E147" s="1" t="n">
        <v>46233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45343</v>
      </c>
      <c r="E148" s="1" t="n">
        <v>46233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7782-2022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46233</v>
      </c>
      <c r="F149" t="inlineStr">
        <is>
          <t>SKÅNE LÄN</t>
        </is>
      </c>
      <c r="G149" t="inlineStr">
        <is>
          <t>HÖÖR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45477</v>
      </c>
      <c r="E150" s="1" t="n">
        <v>46233</v>
      </c>
      <c r="F150" t="inlineStr">
        <is>
          <t>SKÅNE LÄN</t>
        </is>
      </c>
      <c r="G150" t="inlineStr">
        <is>
          <t>HÖÖR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45318</v>
      </c>
      <c r="E151" s="1" t="n">
        <v>46233</v>
      </c>
      <c r="F151" t="inlineStr">
        <is>
          <t>SKÅNE LÄN</t>
        </is>
      </c>
      <c r="G151" t="inlineStr">
        <is>
          <t>HÖÖR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46233</v>
      </c>
      <c r="F152" t="inlineStr">
        <is>
          <t>SKÅNE LÄN</t>
        </is>
      </c>
      <c r="G152" t="inlineStr">
        <is>
          <t>HÖÖR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10007-2022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44621</v>
      </c>
      <c r="E153" s="1" t="n">
        <v>46233</v>
      </c>
      <c r="F153" t="inlineStr">
        <is>
          <t>SKÅNE LÄN</t>
        </is>
      </c>
      <c r="G153" t="inlineStr">
        <is>
          <t>HÖÖR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62944-2025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46009</v>
      </c>
      <c r="E154" s="1" t="n">
        <v>46233</v>
      </c>
      <c r="F154" t="inlineStr">
        <is>
          <t>SKÅNE LÄN</t>
        </is>
      </c>
      <c r="G154" t="inlineStr">
        <is>
          <t>HÖÖR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46233</v>
      </c>
      <c r="F155" t="inlineStr">
        <is>
          <t>SKÅNE LÄN</t>
        </is>
      </c>
      <c r="G155" t="inlineStr">
        <is>
          <t>HÖÖR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46233</v>
      </c>
      <c r="F156" t="inlineStr">
        <is>
          <t>SKÅNE LÄN</t>
        </is>
      </c>
      <c r="G156" t="inlineStr">
        <is>
          <t>HÖÖR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45618</v>
      </c>
      <c r="E157" s="1" t="n">
        <v>46233</v>
      </c>
      <c r="F157" t="inlineStr">
        <is>
          <t>SKÅNE LÄN</t>
        </is>
      </c>
      <c r="G157" t="inlineStr">
        <is>
          <t>HÖÖR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44585</v>
      </c>
      <c r="E158" s="1" t="n">
        <v>46233</v>
      </c>
      <c r="F158" t="inlineStr">
        <is>
          <t>SKÅNE LÄN</t>
        </is>
      </c>
      <c r="G158" t="inlineStr">
        <is>
          <t>HÖÖR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46233</v>
      </c>
      <c r="F159" t="inlineStr">
        <is>
          <t>SKÅNE LÄN</t>
        </is>
      </c>
      <c r="G159" t="inlineStr">
        <is>
          <t>HÖÖR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46233</v>
      </c>
      <c r="F160" t="inlineStr">
        <is>
          <t>SKÅNE LÄN</t>
        </is>
      </c>
      <c r="G160" t="inlineStr">
        <is>
          <t>HÖÖR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46233</v>
      </c>
      <c r="F161" t="inlineStr">
        <is>
          <t>SKÅNE LÄN</t>
        </is>
      </c>
      <c r="G161" t="inlineStr">
        <is>
          <t>HÖÖR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45159</v>
      </c>
      <c r="E162" s="1" t="n">
        <v>46233</v>
      </c>
      <c r="F162" t="inlineStr">
        <is>
          <t>SKÅNE LÄN</t>
        </is>
      </c>
      <c r="G162" t="inlineStr">
        <is>
          <t>HÖÖR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46233</v>
      </c>
      <c r="F163" t="inlineStr">
        <is>
          <t>SKÅNE LÄN</t>
        </is>
      </c>
      <c r="G163" t="inlineStr">
        <is>
          <t>HÖÖR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46233</v>
      </c>
      <c r="F164" t="inlineStr">
        <is>
          <t>SKÅNE LÄN</t>
        </is>
      </c>
      <c r="G164" t="inlineStr">
        <is>
          <t>HÖÖR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46233</v>
      </c>
      <c r="F165" t="inlineStr">
        <is>
          <t>SKÅNE LÄN</t>
        </is>
      </c>
      <c r="G165" t="inlineStr">
        <is>
          <t>HÖÖR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46233</v>
      </c>
      <c r="F166" t="inlineStr">
        <is>
          <t>SKÅNE LÄN</t>
        </is>
      </c>
      <c r="G166" t="inlineStr">
        <is>
          <t>HÖÖR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44838</v>
      </c>
      <c r="E167" s="1" t="n">
        <v>46233</v>
      </c>
      <c r="F167" t="inlineStr">
        <is>
          <t>SKÅNE LÄN</t>
        </is>
      </c>
      <c r="G167" t="inlineStr">
        <is>
          <t>HÖÖR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46233</v>
      </c>
      <c r="F168" t="inlineStr">
        <is>
          <t>SKÅNE LÄN</t>
        </is>
      </c>
      <c r="G168" t="inlineStr">
        <is>
          <t>HÖÖR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18345-2022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44685</v>
      </c>
      <c r="E169" s="1" t="n">
        <v>46233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46233</v>
      </c>
      <c r="F170" t="inlineStr">
        <is>
          <t>SKÅNE LÄN</t>
        </is>
      </c>
      <c r="G170" t="inlineStr">
        <is>
          <t>HÖÖR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46233</v>
      </c>
      <c r="F171" t="inlineStr">
        <is>
          <t>SKÅNE LÄN</t>
        </is>
      </c>
      <c r="G171" t="inlineStr">
        <is>
          <t>HÖÖR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44672</v>
      </c>
      <c r="E172" s="1" t="n">
        <v>46233</v>
      </c>
      <c r="F172" t="inlineStr">
        <is>
          <t>SKÅNE LÄN</t>
        </is>
      </c>
      <c r="G172" t="inlineStr">
        <is>
          <t>HÖÖR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46233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44741</v>
      </c>
      <c r="E174" s="1" t="n">
        <v>46233</v>
      </c>
      <c r="F174" t="inlineStr">
        <is>
          <t>SKÅNE LÄN</t>
        </is>
      </c>
      <c r="G174" t="inlineStr">
        <is>
          <t>HÖÖR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46233</v>
      </c>
      <c r="F175" t="inlineStr">
        <is>
          <t>SKÅNE LÄN</t>
        </is>
      </c>
      <c r="G175" t="inlineStr">
        <is>
          <t>HÖÖR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46160</v>
      </c>
      <c r="E176" s="1" t="n">
        <v>46233</v>
      </c>
      <c r="F176" t="inlineStr">
        <is>
          <t>SKÅNE LÄN</t>
        </is>
      </c>
      <c r="G176" t="inlineStr">
        <is>
          <t>HÖÖR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46160</v>
      </c>
      <c r="E177" s="1" t="n">
        <v>46233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46233</v>
      </c>
      <c r="F178" t="inlineStr">
        <is>
          <t>SKÅNE LÄN</t>
        </is>
      </c>
      <c r="G178" t="inlineStr">
        <is>
          <t>HÖÖR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46233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46233</v>
      </c>
      <c r="F180" t="inlineStr">
        <is>
          <t>SKÅNE LÄN</t>
        </is>
      </c>
      <c r="G180" t="inlineStr">
        <is>
          <t>HÖÖR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46233</v>
      </c>
      <c r="F181" t="inlineStr">
        <is>
          <t>SKÅNE LÄN</t>
        </is>
      </c>
      <c r="G181" t="inlineStr">
        <is>
          <t>HÖÖR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46233</v>
      </c>
      <c r="F182" t="inlineStr">
        <is>
          <t>SKÅNE LÄN</t>
        </is>
      </c>
      <c r="G182" t="inlineStr">
        <is>
          <t>HÖÖR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36211-2024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46233</v>
      </c>
      <c r="F183" t="inlineStr">
        <is>
          <t>SKÅNE LÄN</t>
        </is>
      </c>
      <c r="G183" t="inlineStr">
        <is>
          <t>HÖÖR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46205</v>
      </c>
      <c r="E184" s="1" t="n">
        <v>46233</v>
      </c>
      <c r="F184" t="inlineStr">
        <is>
          <t>SKÅNE LÄN</t>
        </is>
      </c>
      <c r="G184" t="inlineStr">
        <is>
          <t>HÖÖR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46233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46233</v>
      </c>
      <c r="F186" t="inlineStr">
        <is>
          <t>SKÅNE LÄN</t>
        </is>
      </c>
      <c r="G186" t="inlineStr">
        <is>
          <t>HÖÖR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46233</v>
      </c>
      <c r="F187" t="inlineStr">
        <is>
          <t>SKÅNE LÄN</t>
        </is>
      </c>
      <c r="G187" t="inlineStr">
        <is>
          <t>HÖÖR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50196-2022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46233</v>
      </c>
      <c r="F188" t="inlineStr">
        <is>
          <t>SKÅNE LÄN</t>
        </is>
      </c>
      <c r="G188" t="inlineStr">
        <is>
          <t>HÖÖR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46233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46233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45947</v>
      </c>
      <c r="E191" s="1" t="n">
        <v>46233</v>
      </c>
      <c r="F191" t="inlineStr">
        <is>
          <t>SKÅNE LÄN</t>
        </is>
      </c>
      <c r="G191" t="inlineStr">
        <is>
          <t>HÖÖR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46233</v>
      </c>
      <c r="F192" t="inlineStr">
        <is>
          <t>SKÅNE LÄN</t>
        </is>
      </c>
      <c r="G192" t="inlineStr">
        <is>
          <t>HÖÖR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25559-2026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46177</v>
      </c>
      <c r="E193" s="1" t="n">
        <v>46233</v>
      </c>
      <c r="F193" t="inlineStr">
        <is>
          <t>SKÅNE LÄN</t>
        </is>
      </c>
      <c r="G193" t="inlineStr">
        <is>
          <t>HÖÖR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46233</v>
      </c>
      <c r="F194" t="inlineStr">
        <is>
          <t>SKÅNE LÄN</t>
        </is>
      </c>
      <c r="G194" t="inlineStr">
        <is>
          <t>HÖÖR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44734</v>
      </c>
      <c r="E195" s="1" t="n">
        <v>46233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45322</v>
      </c>
      <c r="E196" s="1" t="n">
        <v>46233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46233</v>
      </c>
      <c r="F197" t="inlineStr">
        <is>
          <t>SKÅNE LÄN</t>
        </is>
      </c>
      <c r="G197" t="inlineStr">
        <is>
          <t>HÖÖR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45526</v>
      </c>
      <c r="E198" s="1" t="n">
        <v>46233</v>
      </c>
      <c r="F198" t="inlineStr">
        <is>
          <t>SKÅNE LÄN</t>
        </is>
      </c>
      <c r="G198" t="inlineStr">
        <is>
          <t>HÖÖR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46197</v>
      </c>
      <c r="E199" s="1" t="n">
        <v>46233</v>
      </c>
      <c r="F199" t="inlineStr">
        <is>
          <t>SKÅNE LÄN</t>
        </is>
      </c>
      <c r="G199" t="inlineStr">
        <is>
          <t>HÖÖR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46233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46233</v>
      </c>
      <c r="F201" t="inlineStr">
        <is>
          <t>SKÅNE LÄN</t>
        </is>
      </c>
      <c r="G201" t="inlineStr">
        <is>
          <t>HÖÖR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46233</v>
      </c>
      <c r="F202" t="inlineStr">
        <is>
          <t>SKÅNE LÄN</t>
        </is>
      </c>
      <c r="G202" t="inlineStr">
        <is>
          <t>HÖÖR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46233</v>
      </c>
      <c r="F203" t="inlineStr">
        <is>
          <t>SKÅNE LÄN</t>
        </is>
      </c>
      <c r="G203" t="inlineStr">
        <is>
          <t>HÖÖR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46233</v>
      </c>
      <c r="F204" t="inlineStr">
        <is>
          <t>SKÅNE LÄN</t>
        </is>
      </c>
      <c r="G204" t="inlineStr">
        <is>
          <t>HÖÖR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46233</v>
      </c>
      <c r="F205" t="inlineStr">
        <is>
          <t>SKÅNE LÄN</t>
        </is>
      </c>
      <c r="G205" t="inlineStr">
        <is>
          <t>HÖÖR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46233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46233</v>
      </c>
      <c r="F207" t="inlineStr">
        <is>
          <t>SKÅNE LÄN</t>
        </is>
      </c>
      <c r="G207" t="inlineStr">
        <is>
          <t>HÖÖR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46233</v>
      </c>
      <c r="F208" t="inlineStr">
        <is>
          <t>SKÅNE LÄN</t>
        </is>
      </c>
      <c r="G208" t="inlineStr">
        <is>
          <t>HÖÖR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45327</v>
      </c>
      <c r="E209" s="1" t="n">
        <v>46233</v>
      </c>
      <c r="F209" t="inlineStr">
        <is>
          <t>SKÅNE LÄN</t>
        </is>
      </c>
      <c r="G209" t="inlineStr">
        <is>
          <t>HÖÖR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46233</v>
      </c>
      <c r="F210" t="inlineStr">
        <is>
          <t>SKÅNE LÄN</t>
        </is>
      </c>
      <c r="G210" t="inlineStr">
        <is>
          <t>HÖÖR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46233</v>
      </c>
      <c r="F211" t="inlineStr">
        <is>
          <t>SKÅNE LÄN</t>
        </is>
      </c>
      <c r="G211" t="inlineStr">
        <is>
          <t>HÖÖR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46233</v>
      </c>
      <c r="F212" t="inlineStr">
        <is>
          <t>SKÅNE LÄN</t>
        </is>
      </c>
      <c r="G212" t="inlineStr">
        <is>
          <t>HÖÖR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46233</v>
      </c>
      <c r="F213" t="inlineStr">
        <is>
          <t>SKÅNE LÄN</t>
        </is>
      </c>
      <c r="G213" t="inlineStr">
        <is>
          <t>HÖÖR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46233</v>
      </c>
      <c r="F214" t="inlineStr">
        <is>
          <t>SKÅNE LÄN</t>
        </is>
      </c>
      <c r="G214" t="inlineStr">
        <is>
          <t>HÖÖR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73544-2021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44551</v>
      </c>
      <c r="E215" s="1" t="n">
        <v>46233</v>
      </c>
      <c r="F215" t="inlineStr">
        <is>
          <t>SKÅNE LÄN</t>
        </is>
      </c>
      <c r="G215" t="inlineStr">
        <is>
          <t>HÖÖR</t>
        </is>
      </c>
      <c r="H215" t="inlineStr">
        <is>
          <t>Övriga statliga verk och myndigheter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46233</v>
      </c>
      <c r="F216" t="inlineStr">
        <is>
          <t>SKÅNE LÄN</t>
        </is>
      </c>
      <c r="G216" t="inlineStr">
        <is>
          <t>HÖÖR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46233</v>
      </c>
      <c r="F217" t="inlineStr">
        <is>
          <t>SKÅNE LÄN</t>
        </is>
      </c>
      <c r="G217" t="inlineStr">
        <is>
          <t>HÖÖR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46233</v>
      </c>
      <c r="F218" t="inlineStr">
        <is>
          <t>SKÅNE LÄN</t>
        </is>
      </c>
      <c r="G218" t="inlineStr">
        <is>
          <t>HÖÖR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46233</v>
      </c>
      <c r="F219" t="inlineStr">
        <is>
          <t>SKÅNE LÄN</t>
        </is>
      </c>
      <c r="G219" t="inlineStr">
        <is>
          <t>HÖÖR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45645</v>
      </c>
      <c r="E220" s="1" t="n">
        <v>46233</v>
      </c>
      <c r="F220" t="inlineStr">
        <is>
          <t>SKÅNE LÄN</t>
        </is>
      </c>
      <c r="G220" t="inlineStr">
        <is>
          <t>HÖÖR</t>
        </is>
      </c>
      <c r="H220" t="inlineStr">
        <is>
          <t>Kommuner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46233</v>
      </c>
      <c r="F221" t="inlineStr">
        <is>
          <t>SKÅNE LÄN</t>
        </is>
      </c>
      <c r="G221" t="inlineStr">
        <is>
          <t>HÖÖR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46233</v>
      </c>
      <c r="F222" t="inlineStr">
        <is>
          <t>SKÅNE LÄN</t>
        </is>
      </c>
      <c r="G222" t="inlineStr">
        <is>
          <t>HÖÖR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46233</v>
      </c>
      <c r="F223" t="inlineStr">
        <is>
          <t>SKÅNE LÄN</t>
        </is>
      </c>
      <c r="G223" t="inlineStr">
        <is>
          <t>HÖÖR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46233</v>
      </c>
      <c r="F224" t="inlineStr">
        <is>
          <t>SKÅNE LÄN</t>
        </is>
      </c>
      <c r="G224" t="inlineStr">
        <is>
          <t>HÖÖR</t>
        </is>
      </c>
      <c r="I224" t="n">
        <v>12.3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46233</v>
      </c>
      <c r="F225" t="inlineStr">
        <is>
          <t>SKÅNE LÄN</t>
        </is>
      </c>
      <c r="G225" t="inlineStr">
        <is>
          <t>HÖÖR</t>
        </is>
      </c>
      <c r="I225" t="n">
        <v>28.4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44911</v>
      </c>
      <c r="E226" s="1" t="n">
        <v>46233</v>
      </c>
      <c r="F226" t="inlineStr">
        <is>
          <t>SKÅNE LÄN</t>
        </is>
      </c>
      <c r="G226" t="inlineStr">
        <is>
          <t>HÖÖR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61087-2022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44915</v>
      </c>
      <c r="E227" s="1" t="n">
        <v>46233</v>
      </c>
      <c r="F227" t="inlineStr">
        <is>
          <t>SKÅNE LÄN</t>
        </is>
      </c>
      <c r="G227" t="inlineStr">
        <is>
          <t>HÖÖR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51131-2021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44461</v>
      </c>
      <c r="E228" s="1" t="n">
        <v>46233</v>
      </c>
      <c r="F228" t="inlineStr">
        <is>
          <t>SKÅNE LÄN</t>
        </is>
      </c>
      <c r="G228" t="inlineStr">
        <is>
          <t>HÖÖR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45804</v>
      </c>
      <c r="E229" s="1" t="n">
        <v>46233</v>
      </c>
      <c r="F229" t="inlineStr">
        <is>
          <t>SKÅNE LÄN</t>
        </is>
      </c>
      <c r="G229" t="inlineStr">
        <is>
          <t>HÖÖR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46233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46233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46233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46233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46233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46233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46233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46233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46233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46233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46233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46233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46233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2026-07-30T01:49:13Z</dcterms:modified>
</cp:coreProperties>
</file>