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46279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46279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46279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46279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46279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46279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46279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46279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46279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46279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46279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46279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46279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46279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46279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53956-2023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46279</v>
      </c>
      <c r="F29" t="inlineStr">
        <is>
          <t>SKÅNE LÄN</t>
        </is>
      </c>
      <c r="G29" t="inlineStr">
        <is>
          <t>HÖÖR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Ängskovall</t>
        </is>
      </c>
      <c r="W29">
        <f>HYPERLINK("https://klasma.github.io/Logging_1267/artfynd/A 53956-2023 artfynd.xlsx", "A 53956-2023")</f>
        <v/>
      </c>
      <c r="X29">
        <f>HYPERLINK("https://klasma.github.io/Logging_1267/kartor/A 53956-2023 karta.png", "A 53956-2023")</f>
        <v/>
      </c>
      <c r="Y29">
        <f>HYPERLINK("https://klasma.github.io/Logging_1267/kartor_geotiff/A 53956-2023 georefererad karta.tif", "A 53956-2023")</f>
        <v/>
      </c>
      <c r="AA29">
        <f>HYPERLINK("https://klasma.github.io/Logging_1267/klagomål/A 53956-2023 FSC-klagomål.docx", "A 53956-2023")</f>
        <v/>
      </c>
      <c r="AB29">
        <f>HYPERLINK("https://klasma.github.io/Logging_1267/klagomålsmail/A 53956-2023 FSC-klagomål mail.docx", "A 53956-2023")</f>
        <v/>
      </c>
      <c r="AC29">
        <f>HYPERLINK("https://klasma.github.io/Logging_1267/tillsyn/A 53956-2023 tillsynsbegäran.docx", "A 53956-2023")</f>
        <v/>
      </c>
      <c r="AD29">
        <f>HYPERLINK("https://klasma.github.io/Logging_1267/tillsynsmail/A 53956-2023 tillsynsbegäran mail.docx", "A 53956-2023")</f>
        <v/>
      </c>
    </row>
    <row r="30" ht="15" customHeight="1">
      <c r="A30" t="inlineStr">
        <is>
          <t>A 3924-2024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46279</v>
      </c>
      <c r="F30" t="inlineStr">
        <is>
          <t>SKÅNE LÄN</t>
        </is>
      </c>
      <c r="G30" t="inlineStr">
        <is>
          <t>HÖÖR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Vitnoppa</t>
        </is>
      </c>
      <c r="W30">
        <f>HYPERLINK("https://klasma.github.io/Logging_1267/artfynd/A 3924-2024 artfynd.xlsx", "A 3924-2024")</f>
        <v/>
      </c>
      <c r="X30">
        <f>HYPERLINK("https://klasma.github.io/Logging_1267/kartor/A 3924-2024 karta.png", "A 3924-2024")</f>
        <v/>
      </c>
      <c r="Y30">
        <f>HYPERLINK("https://klasma.github.io/Logging_1267/kartor_geotiff/A 3924-2024 georefererad karta.tif", "A 3924-2024")</f>
        <v/>
      </c>
      <c r="AA30">
        <f>HYPERLINK("https://klasma.github.io/Logging_1267/klagomål/A 3924-2024 FSC-klagomål.docx", "A 3924-2024")</f>
        <v/>
      </c>
      <c r="AB30">
        <f>HYPERLINK("https://klasma.github.io/Logging_1267/klagomålsmail/A 3924-2024 FSC-klagomål mail.docx", "A 3924-2024")</f>
        <v/>
      </c>
      <c r="AC30">
        <f>HYPERLINK("https://klasma.github.io/Logging_1267/tillsyn/A 3924-2024 tillsynsbegäran.docx", "A 3924-2024")</f>
        <v/>
      </c>
      <c r="AD30">
        <f>HYPERLINK("https://klasma.github.io/Logging_1267/tillsynsmail/A 3924-2024 tillsynsbegäran mail.docx", "A 3924-2024")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46279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HYPERLINK("https://klasma.github.io/Logging_1267/artfynd/A 54753-2022 artfynd.xlsx", "A 54753-2022")</f>
        <v/>
      </c>
      <c r="X31">
        <f>HYPERLINK("https://klasma.github.io/Logging_1267/kartor/A 54753-2022 karta.png", "A 54753-2022")</f>
        <v/>
      </c>
      <c r="Y31">
        <f>HYPERLINK("https://klasma.github.io/Logging_1267/kartor_geotiff/A 54753-2022 georefererad karta.tif", "A 54753-2022")</f>
        <v/>
      </c>
      <c r="AA31">
        <f>HYPERLINK("https://klasma.github.io/Logging_1267/klagomål/A 54753-2022 FSC-klagomål.docx", "A 54753-2022")</f>
        <v/>
      </c>
      <c r="AB31">
        <f>HYPERLINK("https://klasma.github.io/Logging_1267/klagomålsmail/A 54753-2022 FSC-klagomål mail.docx", "A 54753-2022")</f>
        <v/>
      </c>
      <c r="AC31">
        <f>HYPERLINK("https://klasma.github.io/Logging_1267/tillsyn/A 54753-2022 tillsynsbegäran.docx", "A 54753-2022")</f>
        <v/>
      </c>
      <c r="AD31">
        <f>HYPERLINK("https://klasma.github.io/Logging_1267/tillsynsmail/A 54753-2022 tillsynsbegäran mail.docx", "A 54753-2022")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46279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45550-2025 artfynd.xlsx", "A 45550-2025")</f>
        <v/>
      </c>
      <c r="X32">
        <f>HYPERLINK("https://klasma.github.io/Logging_1267/kartor/A 45550-2025 karta.png", "A 45550-2025")</f>
        <v/>
      </c>
      <c r="Y32">
        <f>HYPERLINK("https://klasma.github.io/Logging_1267/kartor_geotiff/A 45550-2025 georefererad karta.tif", "A 45550-2025")</f>
        <v/>
      </c>
      <c r="AA32">
        <f>HYPERLINK("https://klasma.github.io/Logging_1267/klagomål/A 45550-2025 FSC-klagomål.docx", "A 45550-2025")</f>
        <v/>
      </c>
      <c r="AB32">
        <f>HYPERLINK("https://klasma.github.io/Logging_1267/klagomålsmail/A 45550-2025 FSC-klagomål mail.docx", "A 45550-2025")</f>
        <v/>
      </c>
      <c r="AC32">
        <f>HYPERLINK("https://klasma.github.io/Logging_1267/tillsyn/A 45550-2025 tillsynsbegäran.docx", "A 45550-2025")</f>
        <v/>
      </c>
      <c r="AD32">
        <f>HYPERLINK("https://klasma.github.io/Logging_1267/tillsynsmail/A 45550-2025 tillsynsbegäran mail.docx", "A 45550-2025")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46279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46279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46279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46279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46279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HYPERLINK("https://klasma.github.io/Logging_1267/artfynd/A 27233-2022 artfynd.xlsx", "A 27233-2022")</f>
        <v/>
      </c>
      <c r="X37">
        <f>HYPERLINK("https://klasma.github.io/Logging_1267/kartor/A 27233-2022 karta.png", "A 27233-2022")</f>
        <v/>
      </c>
      <c r="Y37">
        <f>HYPERLINK("https://klasma.github.io/Logging_1267/kartor_geotiff/A 27233-2022 georefererad karta.tif", "A 27233-2022")</f>
        <v/>
      </c>
      <c r="AA37">
        <f>HYPERLINK("https://klasma.github.io/Logging_1267/klagomål/A 27233-2022 FSC-klagomål.docx", "A 27233-2022")</f>
        <v/>
      </c>
      <c r="AB37">
        <f>HYPERLINK("https://klasma.github.io/Logging_1267/klagomålsmail/A 27233-2022 FSC-klagomål mail.docx", "A 27233-2022")</f>
        <v/>
      </c>
      <c r="AC37">
        <f>HYPERLINK("https://klasma.github.io/Logging_1267/tillsyn/A 27233-2022 tillsynsbegäran.docx", "A 27233-2022")</f>
        <v/>
      </c>
      <c r="AD37">
        <f>HYPERLINK("https://klasma.github.io/Logging_1267/tillsynsmail/A 27233-2022 tillsynsbegäran mail.docx", "A 27233-2022")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46279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46279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46279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46279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46279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46279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46279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46279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46279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46279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46279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46279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46279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46279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46279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46279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46279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46279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46279</v>
      </c>
      <c r="F56" t="inlineStr">
        <is>
          <t>SKÅNE LÄN</t>
        </is>
      </c>
      <c r="G56" t="inlineStr">
        <is>
          <t>HÖÖR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46279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46279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45405</v>
      </c>
      <c r="E59" s="1" t="n">
        <v>46279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46279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46279</v>
      </c>
      <c r="F61" t="inlineStr">
        <is>
          <t>SKÅNE LÄN</t>
        </is>
      </c>
      <c r="G61" t="inlineStr">
        <is>
          <t>HÖÖR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46279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46279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45037</v>
      </c>
      <c r="E64" s="1" t="n">
        <v>46279</v>
      </c>
      <c r="F64" t="inlineStr">
        <is>
          <t>SKÅNE LÄN</t>
        </is>
      </c>
      <c r="G64" t="inlineStr">
        <is>
          <t>HÖÖR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46279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56231-2022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44890</v>
      </c>
      <c r="E66" s="1" t="n">
        <v>46279</v>
      </c>
      <c r="F66" t="inlineStr">
        <is>
          <t>SKÅNE LÄN</t>
        </is>
      </c>
      <c r="G66" t="inlineStr">
        <is>
          <t>HÖÖR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14849-2024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45398</v>
      </c>
      <c r="E67" s="1" t="n">
        <v>46279</v>
      </c>
      <c r="F67" t="inlineStr">
        <is>
          <t>SKÅNE LÄN</t>
        </is>
      </c>
      <c r="G67" t="inlineStr">
        <is>
          <t>HÖÖR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46279</v>
      </c>
      <c r="F68" t="inlineStr">
        <is>
          <t>SKÅNE LÄN</t>
        </is>
      </c>
      <c r="G68" t="inlineStr">
        <is>
          <t>HÖÖR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46279</v>
      </c>
      <c r="F69" t="inlineStr">
        <is>
          <t>SKÅNE LÄN</t>
        </is>
      </c>
      <c r="G69" t="inlineStr">
        <is>
          <t>HÖÖR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46279</v>
      </c>
      <c r="F70" t="inlineStr">
        <is>
          <t>SKÅNE LÄN</t>
        </is>
      </c>
      <c r="G70" t="inlineStr">
        <is>
          <t>HÖÖR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45323</v>
      </c>
      <c r="E71" s="1" t="n">
        <v>46279</v>
      </c>
      <c r="F71" t="inlineStr">
        <is>
          <t>SKÅNE LÄN</t>
        </is>
      </c>
      <c r="G71" t="inlineStr">
        <is>
          <t>HÖÖR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46279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46279</v>
      </c>
      <c r="F73" t="inlineStr">
        <is>
          <t>SKÅNE LÄN</t>
        </is>
      </c>
      <c r="G73" t="inlineStr">
        <is>
          <t>HÖÖR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46279</v>
      </c>
      <c r="F74" t="inlineStr">
        <is>
          <t>SKÅNE LÄN</t>
        </is>
      </c>
      <c r="G74" t="inlineStr">
        <is>
          <t>HÖÖR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45113</v>
      </c>
      <c r="E75" s="1" t="n">
        <v>46279</v>
      </c>
      <c r="F75" t="inlineStr">
        <is>
          <t>SKÅNE LÄN</t>
        </is>
      </c>
      <c r="G75" t="inlineStr">
        <is>
          <t>HÖÖR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46279</v>
      </c>
      <c r="F76" t="inlineStr">
        <is>
          <t>SKÅNE LÄN</t>
        </is>
      </c>
      <c r="G76" t="inlineStr">
        <is>
          <t>HÖÖR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31092-2023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45113</v>
      </c>
      <c r="E77" s="1" t="n">
        <v>46279</v>
      </c>
      <c r="F77" t="inlineStr">
        <is>
          <t>SKÅNE LÄN</t>
        </is>
      </c>
      <c r="G77" t="inlineStr">
        <is>
          <t>HÖÖR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46279</v>
      </c>
      <c r="F78" t="inlineStr">
        <is>
          <t>SKÅNE LÄN</t>
        </is>
      </c>
      <c r="G78" t="inlineStr">
        <is>
          <t>HÖÖR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46279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46279</v>
      </c>
      <c r="F80" t="inlineStr">
        <is>
          <t>SKÅNE LÄN</t>
        </is>
      </c>
      <c r="G80" t="inlineStr">
        <is>
          <t>HÖÖR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44896</v>
      </c>
      <c r="E81" s="1" t="n">
        <v>46279</v>
      </c>
      <c r="F81" t="inlineStr">
        <is>
          <t>SKÅNE LÄN</t>
        </is>
      </c>
      <c r="G81" t="inlineStr">
        <is>
          <t>HÖÖR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45709</v>
      </c>
      <c r="E82" s="1" t="n">
        <v>46279</v>
      </c>
      <c r="F82" t="inlineStr">
        <is>
          <t>SKÅNE LÄN</t>
        </is>
      </c>
      <c r="G82" t="inlineStr">
        <is>
          <t>HÖÖR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45824</v>
      </c>
      <c r="E83" s="1" t="n">
        <v>46279</v>
      </c>
      <c r="F83" t="inlineStr">
        <is>
          <t>SKÅNE LÄN</t>
        </is>
      </c>
      <c r="G83" t="inlineStr">
        <is>
          <t>HÖÖR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46279</v>
      </c>
      <c r="F84" t="inlineStr">
        <is>
          <t>SKÅNE LÄN</t>
        </is>
      </c>
      <c r="G84" t="inlineStr">
        <is>
          <t>HÖÖR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44970</v>
      </c>
      <c r="E85" s="1" t="n">
        <v>46279</v>
      </c>
      <c r="F85" t="inlineStr">
        <is>
          <t>SKÅNE LÄN</t>
        </is>
      </c>
      <c r="G85" t="inlineStr">
        <is>
          <t>HÖÖR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46279</v>
      </c>
      <c r="F86" t="inlineStr">
        <is>
          <t>SKÅNE LÄN</t>
        </is>
      </c>
      <c r="G86" t="inlineStr">
        <is>
          <t>HÖÖR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28830-2025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46279</v>
      </c>
      <c r="F87" t="inlineStr">
        <is>
          <t>SKÅNE LÄN</t>
        </is>
      </c>
      <c r="G87" t="inlineStr">
        <is>
          <t>HÖÖR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45583</v>
      </c>
      <c r="E88" s="1" t="n">
        <v>46279</v>
      </c>
      <c r="F88" t="inlineStr">
        <is>
          <t>SKÅNE LÄN</t>
        </is>
      </c>
      <c r="G88" t="inlineStr">
        <is>
          <t>HÖÖR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44672</v>
      </c>
      <c r="E89" s="1" t="n">
        <v>46279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45807</v>
      </c>
      <c r="E90" s="1" t="n">
        <v>46279</v>
      </c>
      <c r="F90" t="inlineStr">
        <is>
          <t>SKÅNE LÄN</t>
        </is>
      </c>
      <c r="G90" t="inlineStr">
        <is>
          <t>HÖÖR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46279</v>
      </c>
      <c r="F91" t="inlineStr">
        <is>
          <t>SKÅNE LÄN</t>
        </is>
      </c>
      <c r="G91" t="inlineStr">
        <is>
          <t>HÖÖR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44981</v>
      </c>
      <c r="E92" s="1" t="n">
        <v>46279</v>
      </c>
      <c r="F92" t="inlineStr">
        <is>
          <t>SKÅNE LÄN</t>
        </is>
      </c>
      <c r="G92" t="inlineStr">
        <is>
          <t>HÖÖR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46279</v>
      </c>
      <c r="F93" t="inlineStr">
        <is>
          <t>SKÅNE LÄN</t>
        </is>
      </c>
      <c r="G93" t="inlineStr">
        <is>
          <t>HÖÖR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46279</v>
      </c>
      <c r="F94" t="inlineStr">
        <is>
          <t>SKÅNE LÄN</t>
        </is>
      </c>
      <c r="G94" t="inlineStr">
        <is>
          <t>HÖÖR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46064</v>
      </c>
      <c r="E95" s="1" t="n">
        <v>46279</v>
      </c>
      <c r="F95" t="inlineStr">
        <is>
          <t>SKÅNE LÄN</t>
        </is>
      </c>
      <c r="G95" t="inlineStr">
        <is>
          <t>HÖÖR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46279</v>
      </c>
      <c r="F96" t="inlineStr">
        <is>
          <t>SKÅNE LÄN</t>
        </is>
      </c>
      <c r="G96" t="inlineStr">
        <is>
          <t>HÖÖR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46279</v>
      </c>
      <c r="F97" t="inlineStr">
        <is>
          <t>SKÅNE LÄN</t>
        </is>
      </c>
      <c r="G97" t="inlineStr">
        <is>
          <t>HÖÖR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46279</v>
      </c>
      <c r="F98" t="inlineStr">
        <is>
          <t>SKÅNE LÄN</t>
        </is>
      </c>
      <c r="G98" t="inlineStr">
        <is>
          <t>HÖÖR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46279</v>
      </c>
      <c r="F99" t="inlineStr">
        <is>
          <t>SKÅNE LÄN</t>
        </is>
      </c>
      <c r="G99" t="inlineStr">
        <is>
          <t>HÖÖR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12855-2023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45001</v>
      </c>
      <c r="E100" s="1" t="n">
        <v>46279</v>
      </c>
      <c r="F100" t="inlineStr">
        <is>
          <t>SKÅNE LÄN</t>
        </is>
      </c>
      <c r="G100" t="inlineStr">
        <is>
          <t>HÖÖR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45987</v>
      </c>
      <c r="E101" s="1" t="n">
        <v>46279</v>
      </c>
      <c r="F101" t="inlineStr">
        <is>
          <t>SKÅNE LÄN</t>
        </is>
      </c>
      <c r="G101" t="inlineStr">
        <is>
          <t>HÖÖR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45575</v>
      </c>
      <c r="E102" s="1" t="n">
        <v>46279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46279</v>
      </c>
      <c r="F103" t="inlineStr">
        <is>
          <t>SKÅNE LÄN</t>
        </is>
      </c>
      <c r="G103" t="inlineStr">
        <is>
          <t>HÖÖR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46279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46279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46279</v>
      </c>
      <c r="F106" t="inlineStr">
        <is>
          <t>SKÅNE LÄN</t>
        </is>
      </c>
      <c r="G106" t="inlineStr">
        <is>
          <t>HÖÖR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46279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46279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17693-2026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46121</v>
      </c>
      <c r="E109" s="1" t="n">
        <v>46279</v>
      </c>
      <c r="F109" t="inlineStr">
        <is>
          <t>SKÅNE LÄN</t>
        </is>
      </c>
      <c r="G109" t="inlineStr">
        <is>
          <t>HÖÖR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46279</v>
      </c>
      <c r="F110" t="inlineStr">
        <is>
          <t>SKÅNE LÄN</t>
        </is>
      </c>
      <c r="G110" t="inlineStr">
        <is>
          <t>HÖÖR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46279</v>
      </c>
      <c r="F111" t="inlineStr">
        <is>
          <t>SKÅNE LÄN</t>
        </is>
      </c>
      <c r="G111" t="inlineStr">
        <is>
          <t>HÖÖR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44838</v>
      </c>
      <c r="E112" s="1" t="n">
        <v>46279</v>
      </c>
      <c r="F112" t="inlineStr">
        <is>
          <t>SKÅNE LÄN</t>
        </is>
      </c>
      <c r="G112" t="inlineStr">
        <is>
          <t>HÖÖR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46064</v>
      </c>
      <c r="E113" s="1" t="n">
        <v>46279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65200-2021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44515</v>
      </c>
      <c r="E114" s="1" t="n">
        <v>46279</v>
      </c>
      <c r="F114" t="inlineStr">
        <is>
          <t>SKÅNE LÄN</t>
        </is>
      </c>
      <c r="G114" t="inlineStr">
        <is>
          <t>HÖÖR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46279</v>
      </c>
      <c r="F115" t="inlineStr">
        <is>
          <t>SKÅNE LÄN</t>
        </is>
      </c>
      <c r="G115" t="inlineStr">
        <is>
          <t>HÖÖR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16110-2024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45406</v>
      </c>
      <c r="E116" s="1" t="n">
        <v>46279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46279</v>
      </c>
      <c r="F117" t="inlineStr">
        <is>
          <t>SKÅNE LÄN</t>
        </is>
      </c>
      <c r="G117" t="inlineStr">
        <is>
          <t>HÖÖR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46279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46279</v>
      </c>
      <c r="F119" t="inlineStr">
        <is>
          <t>SKÅNE LÄN</t>
        </is>
      </c>
      <c r="G119" t="inlineStr">
        <is>
          <t>HÖÖR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46279</v>
      </c>
      <c r="F120" t="inlineStr">
        <is>
          <t>SKÅNE LÄN</t>
        </is>
      </c>
      <c r="G120" t="inlineStr">
        <is>
          <t>HÖÖR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46279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46279</v>
      </c>
      <c r="F122" t="inlineStr">
        <is>
          <t>SKÅNE LÄN</t>
        </is>
      </c>
      <c r="G122" t="inlineStr">
        <is>
          <t>HÖÖR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46279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45751</v>
      </c>
      <c r="E124" s="1" t="n">
        <v>46279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45770</v>
      </c>
      <c r="E125" s="1" t="n">
        <v>46279</v>
      </c>
      <c r="F125" t="inlineStr">
        <is>
          <t>SKÅNE LÄN</t>
        </is>
      </c>
      <c r="G125" t="inlineStr">
        <is>
          <t>HÖÖR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46279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46279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56941-2025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45978</v>
      </c>
      <c r="E128" s="1" t="n">
        <v>46279</v>
      </c>
      <c r="F128" t="inlineStr">
        <is>
          <t>SKÅNE LÄN</t>
        </is>
      </c>
      <c r="G128" t="inlineStr">
        <is>
          <t>HÖÖR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46023</v>
      </c>
      <c r="E129" s="1" t="n">
        <v>46279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46279</v>
      </c>
      <c r="F130" t="inlineStr">
        <is>
          <t>SKÅNE LÄN</t>
        </is>
      </c>
      <c r="G130" t="inlineStr">
        <is>
          <t>HÖÖR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46279</v>
      </c>
      <c r="F131" t="inlineStr">
        <is>
          <t>SKÅNE LÄN</t>
        </is>
      </c>
      <c r="G131" t="inlineStr">
        <is>
          <t>HÖÖR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46279</v>
      </c>
      <c r="F132" t="inlineStr">
        <is>
          <t>SKÅNE LÄN</t>
        </is>
      </c>
      <c r="G132" t="inlineStr">
        <is>
          <t>HÖÖR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46279</v>
      </c>
      <c r="F133" t="inlineStr">
        <is>
          <t>SKÅNE LÄN</t>
        </is>
      </c>
      <c r="G133" t="inlineStr">
        <is>
          <t>HÖÖR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46279</v>
      </c>
      <c r="F134" t="inlineStr">
        <is>
          <t>SKÅNE LÄN</t>
        </is>
      </c>
      <c r="G134" t="inlineStr">
        <is>
          <t>HÖÖR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46041</v>
      </c>
      <c r="E135" s="1" t="n">
        <v>46279</v>
      </c>
      <c r="F135" t="inlineStr">
        <is>
          <t>SKÅNE LÄN</t>
        </is>
      </c>
      <c r="G135" t="inlineStr">
        <is>
          <t>HÖÖR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46279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46279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46279</v>
      </c>
      <c r="F138" t="inlineStr">
        <is>
          <t>SKÅNE LÄN</t>
        </is>
      </c>
      <c r="G138" t="inlineStr">
        <is>
          <t>HÖÖR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46279</v>
      </c>
      <c r="F139" t="inlineStr">
        <is>
          <t>SKÅNE LÄN</t>
        </is>
      </c>
      <c r="G139" t="inlineStr">
        <is>
          <t>HÖÖR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45318</v>
      </c>
      <c r="E140" s="1" t="n">
        <v>46279</v>
      </c>
      <c r="F140" t="inlineStr">
        <is>
          <t>SKÅNE LÄN</t>
        </is>
      </c>
      <c r="G140" t="inlineStr">
        <is>
          <t>HÖÖR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46279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46064</v>
      </c>
      <c r="E142" s="1" t="n">
        <v>46279</v>
      </c>
      <c r="F142" t="inlineStr">
        <is>
          <t>SKÅNE LÄN</t>
        </is>
      </c>
      <c r="G142" t="inlineStr">
        <is>
          <t>HÖÖR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10007-2022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44621</v>
      </c>
      <c r="E143" s="1" t="n">
        <v>46279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46279</v>
      </c>
      <c r="F144" t="inlineStr">
        <is>
          <t>SKÅNE LÄN</t>
        </is>
      </c>
      <c r="G144" t="inlineStr">
        <is>
          <t>HÖÖR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46279</v>
      </c>
      <c r="F145" t="inlineStr">
        <is>
          <t>SKÅNE LÄN</t>
        </is>
      </c>
      <c r="G145" t="inlineStr">
        <is>
          <t>HÖÖR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45618</v>
      </c>
      <c r="E146" s="1" t="n">
        <v>46279</v>
      </c>
      <c r="F146" t="inlineStr">
        <is>
          <t>SKÅNE LÄN</t>
        </is>
      </c>
      <c r="G146" t="inlineStr">
        <is>
          <t>HÖÖR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44585</v>
      </c>
      <c r="E147" s="1" t="n">
        <v>46279</v>
      </c>
      <c r="F147" t="inlineStr">
        <is>
          <t>SKÅNE LÄN</t>
        </is>
      </c>
      <c r="G147" t="inlineStr">
        <is>
          <t>HÖÖR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46279</v>
      </c>
      <c r="F148" t="inlineStr">
        <is>
          <t>SKÅNE LÄN</t>
        </is>
      </c>
      <c r="G148" t="inlineStr">
        <is>
          <t>HÖÖR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46279</v>
      </c>
      <c r="F149" t="inlineStr">
        <is>
          <t>SKÅNE LÄN</t>
        </is>
      </c>
      <c r="G149" t="inlineStr">
        <is>
          <t>HÖÖR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46279</v>
      </c>
      <c r="F150" t="inlineStr">
        <is>
          <t>SKÅNE LÄN</t>
        </is>
      </c>
      <c r="G150" t="inlineStr">
        <is>
          <t>HÖÖR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46279</v>
      </c>
      <c r="F151" t="inlineStr">
        <is>
          <t>SKÅNE LÄN</t>
        </is>
      </c>
      <c r="G151" t="inlineStr">
        <is>
          <t>HÖÖR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46279</v>
      </c>
      <c r="F152" t="inlineStr">
        <is>
          <t>SKÅNE LÄN</t>
        </is>
      </c>
      <c r="G152" t="inlineStr">
        <is>
          <t>HÖÖR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46160</v>
      </c>
      <c r="E153" s="1" t="n">
        <v>46279</v>
      </c>
      <c r="F153" t="inlineStr">
        <is>
          <t>SKÅNE LÄN</t>
        </is>
      </c>
      <c r="G153" t="inlineStr">
        <is>
          <t>HÖÖR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46160</v>
      </c>
      <c r="E154" s="1" t="n">
        <v>46279</v>
      </c>
      <c r="F154" t="inlineStr">
        <is>
          <t>SKÅNE LÄN</t>
        </is>
      </c>
      <c r="G154" t="inlineStr">
        <is>
          <t>HÖÖR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46279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46279</v>
      </c>
      <c r="F156" t="inlineStr">
        <is>
          <t>SKÅNE LÄN</t>
        </is>
      </c>
      <c r="G156" t="inlineStr">
        <is>
          <t>HÖÖR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46279</v>
      </c>
      <c r="F157" t="inlineStr">
        <is>
          <t>SKÅNE LÄN</t>
        </is>
      </c>
      <c r="G157" t="inlineStr">
        <is>
          <t>HÖÖR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45574</v>
      </c>
      <c r="E158" s="1" t="n">
        <v>46279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43996-2022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44838</v>
      </c>
      <c r="E159" s="1" t="n">
        <v>46279</v>
      </c>
      <c r="F159" t="inlineStr">
        <is>
          <t>SKÅNE LÄN</t>
        </is>
      </c>
      <c r="G159" t="inlineStr">
        <is>
          <t>HÖÖR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44685</v>
      </c>
      <c r="E160" s="1" t="n">
        <v>46279</v>
      </c>
      <c r="F160" t="inlineStr">
        <is>
          <t>SKÅNE LÄN</t>
        </is>
      </c>
      <c r="G160" t="inlineStr">
        <is>
          <t>HÖÖR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45154</v>
      </c>
      <c r="E161" s="1" t="n">
        <v>46279</v>
      </c>
      <c r="F161" t="inlineStr">
        <is>
          <t>SKÅNE LÄN</t>
        </is>
      </c>
      <c r="G161" t="inlineStr">
        <is>
          <t>HÖÖR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46279</v>
      </c>
      <c r="F162" t="inlineStr">
        <is>
          <t>SKÅNE LÄN</t>
        </is>
      </c>
      <c r="G162" t="inlineStr">
        <is>
          <t>HÖÖR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46279</v>
      </c>
      <c r="F163" t="inlineStr">
        <is>
          <t>SKÅNE LÄN</t>
        </is>
      </c>
      <c r="G163" t="inlineStr">
        <is>
          <t>HÖÖR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46279</v>
      </c>
      <c r="F164" t="inlineStr">
        <is>
          <t>SKÅNE LÄN</t>
        </is>
      </c>
      <c r="G164" t="inlineStr">
        <is>
          <t>HÖÖR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44741</v>
      </c>
      <c r="E165" s="1" t="n">
        <v>46279</v>
      </c>
      <c r="F165" t="inlineStr">
        <is>
          <t>SKÅNE LÄN</t>
        </is>
      </c>
      <c r="G165" t="inlineStr">
        <is>
          <t>HÖÖR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46279</v>
      </c>
      <c r="F166" t="inlineStr">
        <is>
          <t>SKÅNE LÄN</t>
        </is>
      </c>
      <c r="G166" t="inlineStr">
        <is>
          <t>HÖÖR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63139-2023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46279</v>
      </c>
      <c r="F167" t="inlineStr">
        <is>
          <t>SKÅNE LÄN</t>
        </is>
      </c>
      <c r="G167" t="inlineStr">
        <is>
          <t>HÖÖR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46279</v>
      </c>
      <c r="F168" t="inlineStr">
        <is>
          <t>SKÅNE LÄN</t>
        </is>
      </c>
      <c r="G168" t="inlineStr">
        <is>
          <t>HÖÖR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45190</v>
      </c>
      <c r="E169" s="1" t="n">
        <v>46279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45534</v>
      </c>
      <c r="E170" s="1" t="n">
        <v>46279</v>
      </c>
      <c r="F170" t="inlineStr">
        <is>
          <t>SKÅNE LÄN</t>
        </is>
      </c>
      <c r="G170" t="inlineStr">
        <is>
          <t>HÖÖR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46279</v>
      </c>
      <c r="F171" t="inlineStr">
        <is>
          <t>SKÅNE LÄN</t>
        </is>
      </c>
      <c r="G171" t="inlineStr">
        <is>
          <t>HÖÖR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46279</v>
      </c>
      <c r="F172" t="inlineStr">
        <is>
          <t>SKÅNE LÄN</t>
        </is>
      </c>
      <c r="G172" t="inlineStr">
        <is>
          <t>HÖÖR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46279</v>
      </c>
      <c r="F173" t="inlineStr">
        <is>
          <t>SKÅNE LÄN</t>
        </is>
      </c>
      <c r="G173" t="inlineStr">
        <is>
          <t>HÖÖR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46279</v>
      </c>
      <c r="F174" t="inlineStr">
        <is>
          <t>SKÅNE LÄN</t>
        </is>
      </c>
      <c r="G174" t="inlineStr">
        <is>
          <t>HÖÖR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46279</v>
      </c>
      <c r="F175" t="inlineStr">
        <is>
          <t>SKÅNE LÄN</t>
        </is>
      </c>
      <c r="G175" t="inlineStr">
        <is>
          <t>HÖÖR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46279</v>
      </c>
      <c r="F176" t="inlineStr">
        <is>
          <t>SKÅNE LÄN</t>
        </is>
      </c>
      <c r="G176" t="inlineStr">
        <is>
          <t>HÖÖR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45061</v>
      </c>
      <c r="E177" s="1" t="n">
        <v>46279</v>
      </c>
      <c r="F177" t="inlineStr">
        <is>
          <t>SKÅNE LÄN</t>
        </is>
      </c>
      <c r="G177" t="inlineStr">
        <is>
          <t>HÖÖR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46279</v>
      </c>
      <c r="F178" t="inlineStr">
        <is>
          <t>SKÅNE LÄN</t>
        </is>
      </c>
      <c r="G178" t="inlineStr">
        <is>
          <t>HÖÖR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46209</v>
      </c>
      <c r="E179" s="1" t="n">
        <v>46279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46279</v>
      </c>
      <c r="F180" t="inlineStr">
        <is>
          <t>SKÅNE LÄN</t>
        </is>
      </c>
      <c r="G180" t="inlineStr">
        <is>
          <t>HÖÖR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46279</v>
      </c>
      <c r="F181" t="inlineStr">
        <is>
          <t>SKÅNE LÄN</t>
        </is>
      </c>
      <c r="G181" t="inlineStr">
        <is>
          <t>HÖÖR</t>
        </is>
      </c>
      <c r="H181" t="inlineStr">
        <is>
          <t>Övriga statliga verk och myndigheter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46255</v>
      </c>
      <c r="E182" s="1" t="n">
        <v>46279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45322</v>
      </c>
      <c r="E183" s="1" t="n">
        <v>46279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46279</v>
      </c>
      <c r="F184" t="inlineStr">
        <is>
          <t>SKÅNE LÄN</t>
        </is>
      </c>
      <c r="G184" t="inlineStr">
        <is>
          <t>HÖÖR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46255</v>
      </c>
      <c r="E185" s="1" t="n">
        <v>46279</v>
      </c>
      <c r="F185" t="inlineStr">
        <is>
          <t>SKÅNE LÄN</t>
        </is>
      </c>
      <c r="G185" t="inlineStr">
        <is>
          <t>HÖÖR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46279</v>
      </c>
      <c r="F186" t="inlineStr">
        <is>
          <t>SKÅNE LÄN</t>
        </is>
      </c>
      <c r="G186" t="inlineStr">
        <is>
          <t>HÖÖR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46279</v>
      </c>
      <c r="F187" t="inlineStr">
        <is>
          <t>SKÅNE LÄN</t>
        </is>
      </c>
      <c r="G187" t="inlineStr">
        <is>
          <t>HÖÖR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46279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46279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45057</v>
      </c>
      <c r="E190" s="1" t="n">
        <v>46279</v>
      </c>
      <c r="F190" t="inlineStr">
        <is>
          <t>SKÅNE LÄN</t>
        </is>
      </c>
      <c r="G190" t="inlineStr">
        <is>
          <t>HÖÖR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46279</v>
      </c>
      <c r="F191" t="inlineStr">
        <is>
          <t>SKÅNE LÄN</t>
        </is>
      </c>
      <c r="G191" t="inlineStr">
        <is>
          <t>HÖÖR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46279</v>
      </c>
      <c r="F192" t="inlineStr">
        <is>
          <t>SKÅNE LÄN</t>
        </is>
      </c>
      <c r="G192" t="inlineStr">
        <is>
          <t>HÖÖR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46279</v>
      </c>
      <c r="F193" t="inlineStr">
        <is>
          <t>SKÅNE LÄN</t>
        </is>
      </c>
      <c r="G193" t="inlineStr">
        <is>
          <t>HÖÖR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36392-2026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46268</v>
      </c>
      <c r="E194" s="1" t="n">
        <v>46279</v>
      </c>
      <c r="F194" t="inlineStr">
        <is>
          <t>SKÅNE LÄN</t>
        </is>
      </c>
      <c r="G194" t="inlineStr">
        <is>
          <t>HÖÖR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46279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46279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46279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46279</v>
      </c>
      <c r="F198" t="inlineStr">
        <is>
          <t>SKÅNE LÄN</t>
        </is>
      </c>
      <c r="G198" t="inlineStr">
        <is>
          <t>HÖÖR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45372</v>
      </c>
      <c r="E199" s="1" t="n">
        <v>46279</v>
      </c>
      <c r="F199" t="inlineStr">
        <is>
          <t>SKÅNE LÄN</t>
        </is>
      </c>
      <c r="G199" t="inlineStr">
        <is>
          <t>HÖÖR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46279</v>
      </c>
      <c r="F200" t="inlineStr">
        <is>
          <t>SKÅNE LÄN</t>
        </is>
      </c>
      <c r="G200" t="inlineStr">
        <is>
          <t>HÖÖR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46273</v>
      </c>
      <c r="E201" s="1" t="n">
        <v>46279</v>
      </c>
      <c r="F201" t="inlineStr">
        <is>
          <t>SKÅNE LÄN</t>
        </is>
      </c>
      <c r="G201" t="inlineStr">
        <is>
          <t>HÖÖR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45041</v>
      </c>
      <c r="E202" s="1" t="n">
        <v>46279</v>
      </c>
      <c r="F202" t="inlineStr">
        <is>
          <t>SKÅNE LÄN</t>
        </is>
      </c>
      <c r="G202" t="inlineStr">
        <is>
          <t>HÖÖR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46196</v>
      </c>
      <c r="E203" s="1" t="n">
        <v>46279</v>
      </c>
      <c r="F203" t="inlineStr">
        <is>
          <t>SKÅNE LÄN</t>
        </is>
      </c>
      <c r="G203" t="inlineStr">
        <is>
          <t>HÖÖR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46279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45327</v>
      </c>
      <c r="E205" s="1" t="n">
        <v>46279</v>
      </c>
      <c r="F205" t="inlineStr">
        <is>
          <t>SKÅNE LÄN</t>
        </is>
      </c>
      <c r="G205" t="inlineStr">
        <is>
          <t>HÖÖR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46279</v>
      </c>
      <c r="F206" t="inlineStr">
        <is>
          <t>SKÅNE LÄN</t>
        </is>
      </c>
      <c r="G206" t="inlineStr">
        <is>
          <t>HÖÖR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46279</v>
      </c>
      <c r="F207" t="inlineStr">
        <is>
          <t>SKÅNE LÄN</t>
        </is>
      </c>
      <c r="G207" t="inlineStr">
        <is>
          <t>HÖÖR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46279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46279</v>
      </c>
      <c r="F209" t="inlineStr">
        <is>
          <t>SKÅNE LÄN</t>
        </is>
      </c>
      <c r="G209" t="inlineStr">
        <is>
          <t>HÖÖR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46279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46279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46279</v>
      </c>
      <c r="F212" t="inlineStr">
        <is>
          <t>SKÅNE LÄN</t>
        </is>
      </c>
      <c r="G212" t="inlineStr">
        <is>
          <t>HÖÖR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46279</v>
      </c>
      <c r="F213" t="inlineStr">
        <is>
          <t>SKÅNE LÄN</t>
        </is>
      </c>
      <c r="G213" t="inlineStr">
        <is>
          <t>HÖÖR</t>
        </is>
      </c>
      <c r="H213" t="inlineStr">
        <is>
          <t>Övriga statliga verk och myndigheter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46279</v>
      </c>
      <c r="F214" t="inlineStr">
        <is>
          <t>SKÅNE LÄN</t>
        </is>
      </c>
      <c r="G214" t="inlineStr">
        <is>
          <t>HÖÖR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46279</v>
      </c>
      <c r="F215" t="inlineStr">
        <is>
          <t>SKÅNE LÄN</t>
        </is>
      </c>
      <c r="G215" t="inlineStr">
        <is>
          <t>HÖÖR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46279</v>
      </c>
      <c r="F216" t="inlineStr">
        <is>
          <t>SKÅNE LÄN</t>
        </is>
      </c>
      <c r="G216" t="inlineStr">
        <is>
          <t>HÖÖR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46279</v>
      </c>
      <c r="F217" t="inlineStr">
        <is>
          <t>SKÅNE LÄN</t>
        </is>
      </c>
      <c r="G217" t="inlineStr">
        <is>
          <t>HÖÖR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61019-2024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45645</v>
      </c>
      <c r="E218" s="1" t="n">
        <v>46279</v>
      </c>
      <c r="F218" t="inlineStr">
        <is>
          <t>SKÅNE LÄN</t>
        </is>
      </c>
      <c r="G218" t="inlineStr">
        <is>
          <t>HÖÖR</t>
        </is>
      </c>
      <c r="H218" t="inlineStr">
        <is>
          <t>Kommuner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46279</v>
      </c>
      <c r="F219" t="inlineStr">
        <is>
          <t>SKÅNE LÄN</t>
        </is>
      </c>
      <c r="G219" t="inlineStr">
        <is>
          <t>HÖÖR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46279</v>
      </c>
      <c r="F220" t="inlineStr">
        <is>
          <t>SKÅNE LÄN</t>
        </is>
      </c>
      <c r="G220" t="inlineStr">
        <is>
          <t>HÖÖR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46279</v>
      </c>
      <c r="F221" t="inlineStr">
        <is>
          <t>SKÅNE LÄN</t>
        </is>
      </c>
      <c r="G221" t="inlineStr">
        <is>
          <t>HÖÖR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45608</v>
      </c>
      <c r="E222" s="1" t="n">
        <v>46279</v>
      </c>
      <c r="F222" t="inlineStr">
        <is>
          <t>SKÅNE LÄN</t>
        </is>
      </c>
      <c r="G222" t="inlineStr">
        <is>
          <t>HÖÖR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46279</v>
      </c>
      <c r="F223" t="inlineStr">
        <is>
          <t>SKÅNE LÄN</t>
        </is>
      </c>
      <c r="G223" t="inlineStr">
        <is>
          <t>HÖÖR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44911</v>
      </c>
      <c r="E224" s="1" t="n">
        <v>46279</v>
      </c>
      <c r="F224" t="inlineStr">
        <is>
          <t>SKÅNE LÄN</t>
        </is>
      </c>
      <c r="G224" t="inlineStr">
        <is>
          <t>HÖÖR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61087-2022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44915</v>
      </c>
      <c r="E225" s="1" t="n">
        <v>46279</v>
      </c>
      <c r="F225" t="inlineStr">
        <is>
          <t>SKÅNE LÄN</t>
        </is>
      </c>
      <c r="G225" t="inlineStr">
        <is>
          <t>HÖÖR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51131-2021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44461</v>
      </c>
      <c r="E226" s="1" t="n">
        <v>46279</v>
      </c>
      <c r="F226" t="inlineStr">
        <is>
          <t>SKÅNE LÄN</t>
        </is>
      </c>
      <c r="G226" t="inlineStr">
        <is>
          <t>HÖÖR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46279</v>
      </c>
      <c r="F227" t="inlineStr">
        <is>
          <t>SKÅNE LÄN</t>
        </is>
      </c>
      <c r="G227" t="inlineStr">
        <is>
          <t>HÖÖR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46279</v>
      </c>
      <c r="F228" t="inlineStr">
        <is>
          <t>SKÅNE LÄN</t>
        </is>
      </c>
      <c r="G228" t="inlineStr">
        <is>
          <t>HÖÖR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46279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46279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46279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46279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46279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46279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46279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46279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46279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46279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46279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46279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46279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2026-09-14T02:18:29Z</dcterms:created>
  <dcterms:modified xmlns:dcterms="http://purl.org/dc/terms/" xmlns:xsi="http://www.w3.org/2001/XMLSchema-instance" xsi:type="dcterms:W3CDTF">2026-09-14T02:18:30Z</dcterms:modified>
</cp:coreProperties>
</file>