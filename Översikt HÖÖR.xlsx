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46250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46250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46250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46250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46250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46250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46250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46250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46250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46250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46250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46250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46250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46250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46250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18348-2022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44685</v>
      </c>
      <c r="E30" s="1" t="n">
        <v>46250</v>
      </c>
      <c r="F30" t="inlineStr">
        <is>
          <t>SKÅNE LÄN</t>
        </is>
      </c>
      <c r="G30" t="inlineStr">
        <is>
          <t>HÖÖR</t>
        </is>
      </c>
      <c r="H30" t="inlineStr">
        <is>
          <t>Sveaskog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Klotullört</t>
        </is>
      </c>
      <c r="W30">
        <f>HYPERLINK("https://klasma.github.io/Logging_1267/artfynd/A 18348-2022 artfynd.xlsx", "A 18348-2022")</f>
        <v/>
      </c>
      <c r="X30">
        <f>HYPERLINK("https://klasma.github.io/Logging_1267/kartor/A 18348-2022 karta.png", "A 18348-2022")</f>
        <v/>
      </c>
      <c r="Y30">
        <f>HYPERLINK("https://klasma.github.io/Logging_1267/kartor_geotiff/A 18348-2022 georefererad karta.tif", "A 18348-2022")</f>
        <v/>
      </c>
      <c r="AA30">
        <f>HYPERLINK("https://klasma.github.io/Logging_1267/klagomål/A 18348-2022 FSC-klagomål.docx", "A 18348-2022")</f>
        <v/>
      </c>
      <c r="AB30">
        <f>HYPERLINK("https://klasma.github.io/Logging_1267/klagomålsmail/A 18348-2022 FSC-klagomål mail.docx", "A 18348-2022")</f>
        <v/>
      </c>
      <c r="AC30">
        <f>HYPERLINK("https://klasma.github.io/Logging_1267/tillsyn/A 18348-2022 tillsynsbegäran.docx", "A 18348-2022")</f>
        <v/>
      </c>
      <c r="AD30">
        <f>HYPERLINK("https://klasma.github.io/Logging_1267/tillsynsmail/A 18348-2022 tillsynsbegäran mail.docx", "A 18348-2022")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46250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46250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46250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46250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46250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27233-2022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44741</v>
      </c>
      <c r="E36" s="1" t="n">
        <v>46250</v>
      </c>
      <c r="F36" t="inlineStr">
        <is>
          <t>SKÅNE LÄN</t>
        </is>
      </c>
      <c r="G36" t="inlineStr">
        <is>
          <t>HÖÖR</t>
        </is>
      </c>
      <c r="I36" t="n">
        <v>5.4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HYPERLINK("https://klasma.github.io/Logging_1267/artfynd/A 27233-2022 artfynd.xlsx", "A 27233-2022")</f>
        <v/>
      </c>
      <c r="X36">
        <f>HYPERLINK("https://klasma.github.io/Logging_1267/kartor/A 27233-2022 karta.png", "A 27233-2022")</f>
        <v/>
      </c>
      <c r="Y36">
        <f>HYPERLINK("https://klasma.github.io/Logging_1267/kartor_geotiff/A 27233-2022 georefererad karta.tif", "A 27233-2022")</f>
        <v/>
      </c>
      <c r="AA36">
        <f>HYPERLINK("https://klasma.github.io/Logging_1267/klagomål/A 27233-2022 FSC-klagomål.docx", "A 27233-2022")</f>
        <v/>
      </c>
      <c r="AB36">
        <f>HYPERLINK("https://klasma.github.io/Logging_1267/klagomålsmail/A 27233-2022 FSC-klagomål mail.docx", "A 27233-2022")</f>
        <v/>
      </c>
      <c r="AC36">
        <f>HYPERLINK("https://klasma.github.io/Logging_1267/tillsyn/A 27233-2022 tillsynsbegäran.docx", "A 27233-2022")</f>
        <v/>
      </c>
      <c r="AD36">
        <f>HYPERLINK("https://klasma.github.io/Logging_1267/tillsynsmail/A 27233-2022 tillsynsbegäran mail.docx", "A 27233-2022")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46250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46250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46250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46250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Småvänderot</t>
        </is>
      </c>
      <c r="W40">
        <f>HYPERLINK("https://klasma.github.io/Logging_1267/artfynd/A 48926-2024 artfynd.xlsx", "A 48926-2024")</f>
        <v/>
      </c>
      <c r="X40">
        <f>HYPERLINK("https://klasma.github.io/Logging_1267/kartor/A 48926-2024 karta.png", "A 48926-2024")</f>
        <v/>
      </c>
      <c r="Y40">
        <f>HYPERLINK("https://klasma.github.io/Logging_1267/kartor_geotiff/A 48926-2024 georefererad karta.tif", "A 48926-2024")</f>
        <v/>
      </c>
      <c r="AA40">
        <f>HYPERLINK("https://klasma.github.io/Logging_1267/klagomål/A 48926-2024 FSC-klagomål.docx", "A 48926-2024")</f>
        <v/>
      </c>
      <c r="AB40">
        <f>HYPERLINK("https://klasma.github.io/Logging_1267/klagomålsmail/A 48926-2024 FSC-klagomål mail.docx", "A 48926-2024")</f>
        <v/>
      </c>
      <c r="AC40">
        <f>HYPERLINK("https://klasma.github.io/Logging_1267/tillsyn/A 48926-2024 tillsynsbegäran.docx", "A 48926-2024")</f>
        <v/>
      </c>
      <c r="AD40">
        <f>HYPERLINK("https://klasma.github.io/Logging_1267/tillsynsmail/A 48926-2024 tillsynsbegäran mail.docx", "A 48926-2024")</f>
        <v/>
      </c>
    </row>
    <row r="41" ht="15" customHeight="1">
      <c r="A41" t="inlineStr">
        <is>
          <t>A 27902-2023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46250</v>
      </c>
      <c r="F41" t="inlineStr">
        <is>
          <t>SKÅNE LÄN</t>
        </is>
      </c>
      <c r="G41" t="inlineStr">
        <is>
          <t>HÖÖR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HYPERLINK("https://klasma.github.io/Logging_1267/artfynd/A 27902-2023 artfynd.xlsx", "A 27902-2023")</f>
        <v/>
      </c>
      <c r="X41">
        <f>HYPERLINK("https://klasma.github.io/Logging_1267/kartor/A 27902-2023 karta.png", "A 27902-2023")</f>
        <v/>
      </c>
      <c r="Y41">
        <f>HYPERLINK("https://klasma.github.io/Logging_1267/kartor_geotiff/A 27902-2023 georefererad karta.tif", "A 27902-2023")</f>
        <v/>
      </c>
      <c r="AA41">
        <f>HYPERLINK("https://klasma.github.io/Logging_1267/klagomål/A 27902-2023 FSC-klagomål.docx", "A 27902-2023")</f>
        <v/>
      </c>
      <c r="AB41">
        <f>HYPERLINK("https://klasma.github.io/Logging_1267/klagomålsmail/A 27902-2023 FSC-klagomål mail.docx", "A 27902-2023")</f>
        <v/>
      </c>
      <c r="AC41">
        <f>HYPERLINK("https://klasma.github.io/Logging_1267/tillsyn/A 27902-2023 tillsynsbegäran.docx", "A 27902-2023")</f>
        <v/>
      </c>
      <c r="AD41">
        <f>HYPERLINK("https://klasma.github.io/Logging_1267/tillsynsmail/A 27902-2023 tillsynsbegäran mail.docx", "A 27902-2023")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46250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46250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46250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46250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46250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46250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46250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46250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46250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46250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46250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46250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46250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46250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46250</v>
      </c>
      <c r="F57" t="inlineStr">
        <is>
          <t>SKÅNE LÄN</t>
        </is>
      </c>
      <c r="G57" t="inlineStr">
        <is>
          <t>HÖÖR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46250</v>
      </c>
      <c r="F58" t="inlineStr">
        <is>
          <t>SKÅNE LÄN</t>
        </is>
      </c>
      <c r="G58" t="inlineStr">
        <is>
          <t>HÖÖR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46250</v>
      </c>
      <c r="F59" t="inlineStr">
        <is>
          <t>SKÅNE LÄN</t>
        </is>
      </c>
      <c r="G59" t="inlineStr">
        <is>
          <t>HÖÖR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46250</v>
      </c>
      <c r="F60" t="inlineStr">
        <is>
          <t>SKÅNE LÄN</t>
        </is>
      </c>
      <c r="G60" t="inlineStr">
        <is>
          <t>HÖÖR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46250</v>
      </c>
      <c r="F61" t="inlineStr">
        <is>
          <t>SKÅNE LÄN</t>
        </is>
      </c>
      <c r="G61" t="inlineStr">
        <is>
          <t>HÖÖR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46250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46250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46250</v>
      </c>
      <c r="F64" t="inlineStr">
        <is>
          <t>SKÅNE LÄN</t>
        </is>
      </c>
      <c r="G64" t="inlineStr">
        <is>
          <t>HÖÖR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46250</v>
      </c>
      <c r="F65" t="inlineStr">
        <is>
          <t>SKÅNE LÄN</t>
        </is>
      </c>
      <c r="G65" t="inlineStr">
        <is>
          <t>HÖÖR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46250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44890</v>
      </c>
      <c r="E67" s="1" t="n">
        <v>46250</v>
      </c>
      <c r="F67" t="inlineStr">
        <is>
          <t>SKÅNE LÄN</t>
        </is>
      </c>
      <c r="G67" t="inlineStr">
        <is>
          <t>HÖÖR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45398</v>
      </c>
      <c r="E68" s="1" t="n">
        <v>46250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46250</v>
      </c>
      <c r="F69" t="inlineStr">
        <is>
          <t>SKÅNE LÄN</t>
        </is>
      </c>
      <c r="G69" t="inlineStr">
        <is>
          <t>HÖÖR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65203-2021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44515</v>
      </c>
      <c r="E70" s="1" t="n">
        <v>46250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46250</v>
      </c>
      <c r="F71" t="inlineStr">
        <is>
          <t>SKÅNE LÄN</t>
        </is>
      </c>
      <c r="G71" t="inlineStr">
        <is>
          <t>HÖÖR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46250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44741</v>
      </c>
      <c r="E73" s="1" t="n">
        <v>46250</v>
      </c>
      <c r="F73" t="inlineStr">
        <is>
          <t>SKÅNE LÄN</t>
        </is>
      </c>
      <c r="G73" t="inlineStr">
        <is>
          <t>HÖÖR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45323</v>
      </c>
      <c r="E74" s="1" t="n">
        <v>46250</v>
      </c>
      <c r="F74" t="inlineStr">
        <is>
          <t>SKÅNE LÄN</t>
        </is>
      </c>
      <c r="G74" t="inlineStr">
        <is>
          <t>HÖÖR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46250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44838</v>
      </c>
      <c r="E76" s="1" t="n">
        <v>46250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46250</v>
      </c>
      <c r="F77" t="inlineStr">
        <is>
          <t>SKÅNE LÄN</t>
        </is>
      </c>
      <c r="G77" t="inlineStr">
        <is>
          <t>HÖÖR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46250</v>
      </c>
      <c r="F78" t="inlineStr">
        <is>
          <t>SKÅNE LÄN</t>
        </is>
      </c>
      <c r="G78" t="inlineStr">
        <is>
          <t>HÖÖR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46250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46250</v>
      </c>
      <c r="F80" t="inlineStr">
        <is>
          <t>SKÅNE LÄN</t>
        </is>
      </c>
      <c r="G80" t="inlineStr">
        <is>
          <t>HÖÖR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46250</v>
      </c>
      <c r="F81" t="inlineStr">
        <is>
          <t>SKÅNE LÄN</t>
        </is>
      </c>
      <c r="G81" t="inlineStr">
        <is>
          <t>HÖÖR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46250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46250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46250</v>
      </c>
      <c r="F84" t="inlineStr">
        <is>
          <t>SKÅNE LÄN</t>
        </is>
      </c>
      <c r="G84" t="inlineStr">
        <is>
          <t>HÖÖR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46250</v>
      </c>
      <c r="F85" t="inlineStr">
        <is>
          <t>SKÅNE LÄN</t>
        </is>
      </c>
      <c r="G85" t="inlineStr">
        <is>
          <t>HÖÖR</t>
        </is>
      </c>
      <c r="H85" t="inlineStr">
        <is>
          <t>Övriga statliga verk och myndigheter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46250</v>
      </c>
      <c r="F86" t="inlineStr">
        <is>
          <t>SKÅNE LÄN</t>
        </is>
      </c>
      <c r="G86" t="inlineStr">
        <is>
          <t>HÖÖR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46250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31092-2023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45113</v>
      </c>
      <c r="E88" s="1" t="n">
        <v>46250</v>
      </c>
      <c r="F88" t="inlineStr">
        <is>
          <t>SKÅNE LÄN</t>
        </is>
      </c>
      <c r="G88" t="inlineStr">
        <is>
          <t>HÖÖR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46250</v>
      </c>
      <c r="F89" t="inlineStr">
        <is>
          <t>SKÅNE LÄN</t>
        </is>
      </c>
      <c r="G89" t="inlineStr">
        <is>
          <t>HÖÖR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46250</v>
      </c>
      <c r="F90" t="inlineStr">
        <is>
          <t>SKÅNE LÄN</t>
        </is>
      </c>
      <c r="G90" t="inlineStr">
        <is>
          <t>HÖÖR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46250</v>
      </c>
      <c r="F91" t="inlineStr">
        <is>
          <t>SKÅNE LÄN</t>
        </is>
      </c>
      <c r="G91" t="inlineStr">
        <is>
          <t>HÖÖR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46250</v>
      </c>
      <c r="F92" t="inlineStr">
        <is>
          <t>SKÅNE LÄN</t>
        </is>
      </c>
      <c r="G92" t="inlineStr">
        <is>
          <t>HÖÖR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46250</v>
      </c>
      <c r="F93" t="inlineStr">
        <is>
          <t>SKÅNE LÄN</t>
        </is>
      </c>
      <c r="G93" t="inlineStr">
        <is>
          <t>HÖÖR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46250</v>
      </c>
      <c r="F94" t="inlineStr">
        <is>
          <t>SKÅNE LÄN</t>
        </is>
      </c>
      <c r="G94" t="inlineStr">
        <is>
          <t>HÖÖR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46250</v>
      </c>
      <c r="F95" t="inlineStr">
        <is>
          <t>SKÅNE LÄN</t>
        </is>
      </c>
      <c r="G95" t="inlineStr">
        <is>
          <t>HÖÖR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45349-2023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46250</v>
      </c>
      <c r="F96" t="inlineStr">
        <is>
          <t>SKÅNE LÄN</t>
        </is>
      </c>
      <c r="G96" t="inlineStr">
        <is>
          <t>HÖÖR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45190</v>
      </c>
      <c r="E97" s="1" t="n">
        <v>46250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46250</v>
      </c>
      <c r="F98" t="inlineStr">
        <is>
          <t>SKÅNE LÄN</t>
        </is>
      </c>
      <c r="G98" t="inlineStr">
        <is>
          <t>HÖÖR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46250</v>
      </c>
      <c r="F99" t="inlineStr">
        <is>
          <t>SKÅNE LÄN</t>
        </is>
      </c>
      <c r="G99" t="inlineStr">
        <is>
          <t>HÖÖR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7306-2023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44970</v>
      </c>
      <c r="E100" s="1" t="n">
        <v>46250</v>
      </c>
      <c r="F100" t="inlineStr">
        <is>
          <t>SKÅNE LÄN</t>
        </is>
      </c>
      <c r="G100" t="inlineStr">
        <is>
          <t>HÖÖR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46250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46250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46250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46250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46128</v>
      </c>
      <c r="E105" s="1" t="n">
        <v>46250</v>
      </c>
      <c r="F105" t="inlineStr">
        <is>
          <t>SKÅNE LÄN</t>
        </is>
      </c>
      <c r="G105" t="inlineStr">
        <is>
          <t>HÖÖR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46250</v>
      </c>
      <c r="F106" t="inlineStr">
        <is>
          <t>SKÅNE LÄN</t>
        </is>
      </c>
      <c r="G106" t="inlineStr">
        <is>
          <t>HÖÖR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44672</v>
      </c>
      <c r="E107" s="1" t="n">
        <v>46250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45982</v>
      </c>
      <c r="E108" s="1" t="n">
        <v>46250</v>
      </c>
      <c r="F108" t="inlineStr">
        <is>
          <t>SKÅNE LÄN</t>
        </is>
      </c>
      <c r="G108" t="inlineStr">
        <is>
          <t>HÖÖR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46250</v>
      </c>
      <c r="F109" t="inlineStr">
        <is>
          <t>SKÅNE LÄN</t>
        </is>
      </c>
      <c r="G109" t="inlineStr">
        <is>
          <t>HÖÖR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17693-2026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46121</v>
      </c>
      <c r="E110" s="1" t="n">
        <v>46250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46250</v>
      </c>
      <c r="F111" t="inlineStr">
        <is>
          <t>SKÅNE LÄN</t>
        </is>
      </c>
      <c r="G111" t="inlineStr">
        <is>
          <t>HÖÖR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46250</v>
      </c>
      <c r="F112" t="inlineStr">
        <is>
          <t>SKÅNE LÄN</t>
        </is>
      </c>
      <c r="G112" t="inlineStr">
        <is>
          <t>HÖÖR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46250</v>
      </c>
      <c r="F113" t="inlineStr">
        <is>
          <t>SKÅNE LÄN</t>
        </is>
      </c>
      <c r="G113" t="inlineStr">
        <is>
          <t>HÖÖR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20329-2026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46136</v>
      </c>
      <c r="E114" s="1" t="n">
        <v>46250</v>
      </c>
      <c r="F114" t="inlineStr">
        <is>
          <t>SKÅNE LÄN</t>
        </is>
      </c>
      <c r="G114" t="inlineStr">
        <is>
          <t>HÖÖR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46250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46250</v>
      </c>
      <c r="F116" t="inlineStr">
        <is>
          <t>SKÅNE LÄN</t>
        </is>
      </c>
      <c r="G116" t="inlineStr">
        <is>
          <t>HÖÖR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46250</v>
      </c>
      <c r="F117" t="inlineStr">
        <is>
          <t>SKÅNE LÄN</t>
        </is>
      </c>
      <c r="G117" t="inlineStr">
        <is>
          <t>HÖÖR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12855-2023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45001</v>
      </c>
      <c r="E118" s="1" t="n">
        <v>46250</v>
      </c>
      <c r="F118" t="inlineStr">
        <is>
          <t>SKÅNE LÄN</t>
        </is>
      </c>
      <c r="G118" t="inlineStr">
        <is>
          <t>HÖÖR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44860</v>
      </c>
      <c r="E119" s="1" t="n">
        <v>46250</v>
      </c>
      <c r="F119" t="inlineStr">
        <is>
          <t>SKÅNE LÄN</t>
        </is>
      </c>
      <c r="G119" t="inlineStr">
        <is>
          <t>HÖÖR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46250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46250</v>
      </c>
      <c r="F121" t="inlineStr">
        <is>
          <t>SKÅNE LÄN</t>
        </is>
      </c>
      <c r="G121" t="inlineStr">
        <is>
          <t>HÖÖR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46250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46250</v>
      </c>
      <c r="F123" t="inlineStr">
        <is>
          <t>SKÅNE LÄN</t>
        </is>
      </c>
      <c r="G123" t="inlineStr">
        <is>
          <t>HÖÖR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46250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45061</v>
      </c>
      <c r="E125" s="1" t="n">
        <v>46250</v>
      </c>
      <c r="F125" t="inlineStr">
        <is>
          <t>SKÅNE LÄN</t>
        </is>
      </c>
      <c r="G125" t="inlineStr">
        <is>
          <t>HÖÖR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46250</v>
      </c>
      <c r="F126" t="inlineStr">
        <is>
          <t>SKÅNE LÄN</t>
        </is>
      </c>
      <c r="G126" t="inlineStr">
        <is>
          <t>HÖÖR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46250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46250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46250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46250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46250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46250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46250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46250</v>
      </c>
      <c r="F134" t="inlineStr">
        <is>
          <t>SKÅNE LÄN</t>
        </is>
      </c>
      <c r="G134" t="inlineStr">
        <is>
          <t>HÖÖR</t>
        </is>
      </c>
      <c r="H134" t="inlineStr">
        <is>
          <t>Övriga statliga verk och myndigheter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46250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46250</v>
      </c>
      <c r="F136" t="inlineStr">
        <is>
          <t>SKÅNE LÄN</t>
        </is>
      </c>
      <c r="G136" t="inlineStr">
        <is>
          <t>HÖÖR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45526</v>
      </c>
      <c r="E137" s="1" t="n">
        <v>46250</v>
      </c>
      <c r="F137" t="inlineStr">
        <is>
          <t>SKÅNE LÄN</t>
        </is>
      </c>
      <c r="G137" t="inlineStr">
        <is>
          <t>HÖÖR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46250</v>
      </c>
      <c r="F138" t="inlineStr">
        <is>
          <t>SKÅNE LÄN</t>
        </is>
      </c>
      <c r="G138" t="inlineStr">
        <is>
          <t>HÖÖR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46250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45057</v>
      </c>
      <c r="E140" s="1" t="n">
        <v>46250</v>
      </c>
      <c r="F140" t="inlineStr">
        <is>
          <t>SKÅNE LÄN</t>
        </is>
      </c>
      <c r="G140" t="inlineStr">
        <is>
          <t>HÖÖR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46250</v>
      </c>
      <c r="F141" t="inlineStr">
        <is>
          <t>SKÅNE LÄN</t>
        </is>
      </c>
      <c r="G141" t="inlineStr">
        <is>
          <t>HÖÖR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46250</v>
      </c>
      <c r="F142" t="inlineStr">
        <is>
          <t>SKÅNE LÄN</t>
        </is>
      </c>
      <c r="G142" t="inlineStr">
        <is>
          <t>HÖÖR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8290-2026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46064</v>
      </c>
      <c r="E143" s="1" t="n">
        <v>46250</v>
      </c>
      <c r="F143" t="inlineStr">
        <is>
          <t>SKÅNE LÄN</t>
        </is>
      </c>
      <c r="G143" t="inlineStr">
        <is>
          <t>HÖÖR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46250</v>
      </c>
      <c r="F144" t="inlineStr">
        <is>
          <t>SKÅNE LÄN</t>
        </is>
      </c>
      <c r="G144" t="inlineStr">
        <is>
          <t>HÖÖR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65200-2021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44515</v>
      </c>
      <c r="E145" s="1" t="n">
        <v>46250</v>
      </c>
      <c r="F145" t="inlineStr">
        <is>
          <t>SKÅNE LÄN</t>
        </is>
      </c>
      <c r="G145" t="inlineStr">
        <is>
          <t>HÖÖR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46250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45532</v>
      </c>
      <c r="E147" s="1" t="n">
        <v>46250</v>
      </c>
      <c r="F147" t="inlineStr">
        <is>
          <t>SKÅNE LÄN</t>
        </is>
      </c>
      <c r="G147" t="inlineStr">
        <is>
          <t>HÖÖR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46250</v>
      </c>
      <c r="F148" t="inlineStr">
        <is>
          <t>SKÅNE LÄN</t>
        </is>
      </c>
      <c r="G148" t="inlineStr">
        <is>
          <t>HÖÖR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16110-2024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45406</v>
      </c>
      <c r="E149" s="1" t="n">
        <v>46250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46250</v>
      </c>
      <c r="F150" t="inlineStr">
        <is>
          <t>SKÅNE LÄN</t>
        </is>
      </c>
      <c r="G150" t="inlineStr">
        <is>
          <t>HÖÖR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46250</v>
      </c>
      <c r="F151" t="inlineStr">
        <is>
          <t>SKÅNE LÄN</t>
        </is>
      </c>
      <c r="G151" t="inlineStr">
        <is>
          <t>HÖÖR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46250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46250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46250</v>
      </c>
      <c r="F154" t="inlineStr">
        <is>
          <t>SKÅNE LÄN</t>
        </is>
      </c>
      <c r="G154" t="inlineStr">
        <is>
          <t>HÖÖR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46250</v>
      </c>
      <c r="F155" t="inlineStr">
        <is>
          <t>SKÅNE LÄN</t>
        </is>
      </c>
      <c r="G155" t="inlineStr">
        <is>
          <t>HÖÖR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46250</v>
      </c>
      <c r="F156" t="inlineStr">
        <is>
          <t>SKÅNE LÄN</t>
        </is>
      </c>
      <c r="G156" t="inlineStr">
        <is>
          <t>HÖÖR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46250</v>
      </c>
      <c r="F157" t="inlineStr">
        <is>
          <t>SKÅNE LÄN</t>
        </is>
      </c>
      <c r="G157" t="inlineStr">
        <is>
          <t>HÖÖR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46250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46250</v>
      </c>
      <c r="F159" t="inlineStr">
        <is>
          <t>SKÅNE LÄN</t>
        </is>
      </c>
      <c r="G159" t="inlineStr">
        <is>
          <t>HÖÖR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46250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46250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46250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46250</v>
      </c>
      <c r="F163" t="inlineStr">
        <is>
          <t>SKÅNE LÄN</t>
        </is>
      </c>
      <c r="G163" t="inlineStr">
        <is>
          <t>HÖÖR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46250</v>
      </c>
      <c r="F164" t="inlineStr">
        <is>
          <t>SKÅNE LÄN</t>
        </is>
      </c>
      <c r="G164" t="inlineStr">
        <is>
          <t>HÖÖR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46250</v>
      </c>
      <c r="F165" t="inlineStr">
        <is>
          <t>SKÅNE LÄN</t>
        </is>
      </c>
      <c r="G165" t="inlineStr">
        <is>
          <t>HÖÖR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45327</v>
      </c>
      <c r="E166" s="1" t="n">
        <v>46250</v>
      </c>
      <c r="F166" t="inlineStr">
        <is>
          <t>SKÅNE LÄN</t>
        </is>
      </c>
      <c r="G166" t="inlineStr">
        <is>
          <t>HÖÖR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46250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46250</v>
      </c>
      <c r="F168" t="inlineStr">
        <is>
          <t>SKÅNE LÄN</t>
        </is>
      </c>
      <c r="G168" t="inlineStr">
        <is>
          <t>HÖÖR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46250</v>
      </c>
      <c r="F169" t="inlineStr">
        <is>
          <t>SKÅNE LÄN</t>
        </is>
      </c>
      <c r="G169" t="inlineStr">
        <is>
          <t>HÖÖR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46250</v>
      </c>
      <c r="F170" t="inlineStr">
        <is>
          <t>SKÅNE LÄN</t>
        </is>
      </c>
      <c r="G170" t="inlineStr">
        <is>
          <t>HÖÖR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46250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46250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46250</v>
      </c>
      <c r="F173" t="inlineStr">
        <is>
          <t>SKÅNE LÄN</t>
        </is>
      </c>
      <c r="G173" t="inlineStr">
        <is>
          <t>HÖÖR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45477</v>
      </c>
      <c r="E174" s="1" t="n">
        <v>46250</v>
      </c>
      <c r="F174" t="inlineStr">
        <is>
          <t>SKÅNE LÄN</t>
        </is>
      </c>
      <c r="G174" t="inlineStr">
        <is>
          <t>HÖÖR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46250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46250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46250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73544-2021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46250</v>
      </c>
      <c r="F178" t="inlineStr">
        <is>
          <t>SKÅNE LÄN</t>
        </is>
      </c>
      <c r="G178" t="inlineStr">
        <is>
          <t>HÖÖR</t>
        </is>
      </c>
      <c r="H178" t="inlineStr">
        <is>
          <t>Övriga statliga verk och myndigheter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44608</v>
      </c>
      <c r="E179" s="1" t="n">
        <v>46250</v>
      </c>
      <c r="F179" t="inlineStr">
        <is>
          <t>SKÅNE LÄN</t>
        </is>
      </c>
      <c r="G179" t="inlineStr">
        <is>
          <t>HÖÖR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46250</v>
      </c>
      <c r="F180" t="inlineStr">
        <is>
          <t>SKÅNE LÄN</t>
        </is>
      </c>
      <c r="G180" t="inlineStr">
        <is>
          <t>HÖÖR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46250</v>
      </c>
      <c r="F181" t="inlineStr">
        <is>
          <t>SKÅNE LÄN</t>
        </is>
      </c>
      <c r="G181" t="inlineStr">
        <is>
          <t>HÖÖR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45477</v>
      </c>
      <c r="E182" s="1" t="n">
        <v>46250</v>
      </c>
      <c r="F182" t="inlineStr">
        <is>
          <t>SKÅNE LÄN</t>
        </is>
      </c>
      <c r="G182" t="inlineStr">
        <is>
          <t>HÖÖR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45318</v>
      </c>
      <c r="E183" s="1" t="n">
        <v>46250</v>
      </c>
      <c r="F183" t="inlineStr">
        <is>
          <t>SKÅNE LÄN</t>
        </is>
      </c>
      <c r="G183" t="inlineStr">
        <is>
          <t>HÖÖR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46250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10007-2022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44621</v>
      </c>
      <c r="E185" s="1" t="n">
        <v>46250</v>
      </c>
      <c r="F185" t="inlineStr">
        <is>
          <t>SKÅNE LÄN</t>
        </is>
      </c>
      <c r="G185" t="inlineStr">
        <is>
          <t>HÖÖR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46250</v>
      </c>
      <c r="F186" t="inlineStr">
        <is>
          <t>SKÅNE LÄN</t>
        </is>
      </c>
      <c r="G186" t="inlineStr">
        <is>
          <t>HÖÖR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46250</v>
      </c>
      <c r="F187" t="inlineStr">
        <is>
          <t>SKÅNE LÄN</t>
        </is>
      </c>
      <c r="G187" t="inlineStr">
        <is>
          <t>HÖÖR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46250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45645</v>
      </c>
      <c r="E189" s="1" t="n">
        <v>46250</v>
      </c>
      <c r="F189" t="inlineStr">
        <is>
          <t>SKÅNE LÄN</t>
        </is>
      </c>
      <c r="G189" t="inlineStr">
        <is>
          <t>HÖÖR</t>
        </is>
      </c>
      <c r="H189" t="inlineStr">
        <is>
          <t>Kommuner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46250</v>
      </c>
      <c r="F190" t="inlineStr">
        <is>
          <t>SKÅNE LÄN</t>
        </is>
      </c>
      <c r="G190" t="inlineStr">
        <is>
          <t>HÖÖR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46250</v>
      </c>
      <c r="F191" t="inlineStr">
        <is>
          <t>SKÅNE LÄN</t>
        </is>
      </c>
      <c r="G191" t="inlineStr">
        <is>
          <t>HÖÖR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46250</v>
      </c>
      <c r="F192" t="inlineStr">
        <is>
          <t>SKÅNE LÄN</t>
        </is>
      </c>
      <c r="G192" t="inlineStr">
        <is>
          <t>HÖÖR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46250</v>
      </c>
      <c r="F193" t="inlineStr">
        <is>
          <t>SKÅNE LÄN</t>
        </is>
      </c>
      <c r="G193" t="inlineStr">
        <is>
          <t>HÖÖR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46250</v>
      </c>
      <c r="F194" t="inlineStr">
        <is>
          <t>SKÅNE LÄN</t>
        </is>
      </c>
      <c r="G194" t="inlineStr">
        <is>
          <t>HÖÖR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46250</v>
      </c>
      <c r="F195" t="inlineStr">
        <is>
          <t>SKÅNE LÄN</t>
        </is>
      </c>
      <c r="G195" t="inlineStr">
        <is>
          <t>HÖÖR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46250</v>
      </c>
      <c r="F196" t="inlineStr">
        <is>
          <t>SKÅNE LÄN</t>
        </is>
      </c>
      <c r="G196" t="inlineStr">
        <is>
          <t>HÖÖR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46250</v>
      </c>
      <c r="F197" t="inlineStr">
        <is>
          <t>SKÅNE LÄN</t>
        </is>
      </c>
      <c r="G197" t="inlineStr">
        <is>
          <t>HÖÖR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46250</v>
      </c>
      <c r="F198" t="inlineStr">
        <is>
          <t>SKÅNE LÄN</t>
        </is>
      </c>
      <c r="G198" t="inlineStr">
        <is>
          <t>HÖÖR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46250</v>
      </c>
      <c r="F199" t="inlineStr">
        <is>
          <t>SKÅNE LÄN</t>
        </is>
      </c>
      <c r="G199" t="inlineStr">
        <is>
          <t>HÖÖR</t>
        </is>
      </c>
      <c r="I199" t="n">
        <v>12.3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46250</v>
      </c>
      <c r="F200" t="inlineStr">
        <is>
          <t>SKÅNE LÄN</t>
        </is>
      </c>
      <c r="G200" t="inlineStr">
        <is>
          <t>HÖÖR</t>
        </is>
      </c>
      <c r="I200" t="n">
        <v>28.4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46250</v>
      </c>
      <c r="F201" t="inlineStr">
        <is>
          <t>SKÅNE LÄN</t>
        </is>
      </c>
      <c r="G201" t="inlineStr">
        <is>
          <t>HÖÖR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60425-2022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44911</v>
      </c>
      <c r="E202" s="1" t="n">
        <v>46250</v>
      </c>
      <c r="F202" t="inlineStr">
        <is>
          <t>SKÅNE LÄN</t>
        </is>
      </c>
      <c r="G202" t="inlineStr">
        <is>
          <t>HÖÖR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61087-2022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44915</v>
      </c>
      <c r="E203" s="1" t="n">
        <v>46250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46250</v>
      </c>
      <c r="F204" t="inlineStr">
        <is>
          <t>SKÅNE LÄN</t>
        </is>
      </c>
      <c r="G204" t="inlineStr">
        <is>
          <t>HÖÖR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46250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46250</v>
      </c>
      <c r="F206" t="inlineStr">
        <is>
          <t>SKÅNE LÄN</t>
        </is>
      </c>
      <c r="G206" t="inlineStr">
        <is>
          <t>HÖÖR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46250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45477</v>
      </c>
      <c r="E208" s="1" t="n">
        <v>46250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46250</v>
      </c>
      <c r="F209" t="inlineStr">
        <is>
          <t>SKÅNE LÄN</t>
        </is>
      </c>
      <c r="G209" t="inlineStr">
        <is>
          <t>HÖÖR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46250</v>
      </c>
      <c r="F210" t="inlineStr">
        <is>
          <t>SKÅNE LÄN</t>
        </is>
      </c>
      <c r="G210" t="inlineStr">
        <is>
          <t>HÖÖR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46250</v>
      </c>
      <c r="F211" t="inlineStr">
        <is>
          <t>SKÅNE LÄN</t>
        </is>
      </c>
      <c r="G211" t="inlineStr">
        <is>
          <t>HÖÖR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45709</v>
      </c>
      <c r="E212" s="1" t="n">
        <v>46250</v>
      </c>
      <c r="F212" t="inlineStr">
        <is>
          <t>SKÅNE LÄN</t>
        </is>
      </c>
      <c r="G212" t="inlineStr">
        <is>
          <t>HÖÖR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46250</v>
      </c>
      <c r="F213" t="inlineStr">
        <is>
          <t>SKÅNE LÄN</t>
        </is>
      </c>
      <c r="G213" t="inlineStr">
        <is>
          <t>HÖÖR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46250</v>
      </c>
      <c r="F214" t="inlineStr">
        <is>
          <t>SKÅNE LÄN</t>
        </is>
      </c>
      <c r="G214" t="inlineStr">
        <is>
          <t>HÖÖR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46250</v>
      </c>
      <c r="F215" t="inlineStr">
        <is>
          <t>SKÅNE LÄN</t>
        </is>
      </c>
      <c r="G215" t="inlineStr">
        <is>
          <t>HÖÖR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46250</v>
      </c>
      <c r="F216" t="inlineStr">
        <is>
          <t>SKÅNE LÄN</t>
        </is>
      </c>
      <c r="G216" t="inlineStr">
        <is>
          <t>HÖÖR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46250</v>
      </c>
      <c r="F217" t="inlineStr">
        <is>
          <t>SKÅNE LÄN</t>
        </is>
      </c>
      <c r="G217" t="inlineStr">
        <is>
          <t>HÖÖR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44685</v>
      </c>
      <c r="E218" s="1" t="n">
        <v>46250</v>
      </c>
      <c r="F218" t="inlineStr">
        <is>
          <t>SKÅNE LÄN</t>
        </is>
      </c>
      <c r="G218" t="inlineStr">
        <is>
          <t>HÖÖR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46250</v>
      </c>
      <c r="F219" t="inlineStr">
        <is>
          <t>SKÅNE LÄN</t>
        </is>
      </c>
      <c r="G219" t="inlineStr">
        <is>
          <t>HÖÖR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46250</v>
      </c>
      <c r="F220" t="inlineStr">
        <is>
          <t>SKÅNE LÄN</t>
        </is>
      </c>
      <c r="G220" t="inlineStr">
        <is>
          <t>HÖÖR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46250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46250</v>
      </c>
      <c r="F222" t="inlineStr">
        <is>
          <t>SKÅNE LÄN</t>
        </is>
      </c>
      <c r="G222" t="inlineStr">
        <is>
          <t>HÖÖR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45807</v>
      </c>
      <c r="E223" s="1" t="n">
        <v>46250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46250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46196</v>
      </c>
      <c r="E225" s="1" t="n">
        <v>46250</v>
      </c>
      <c r="F225" t="inlineStr">
        <is>
          <t>SKÅNE LÄN</t>
        </is>
      </c>
      <c r="G225" t="inlineStr">
        <is>
          <t>HÖÖR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46250</v>
      </c>
      <c r="F226" t="inlineStr">
        <is>
          <t>SKÅNE LÄN</t>
        </is>
      </c>
      <c r="G226" t="inlineStr">
        <is>
          <t>HÖÖR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46250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46250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46250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46250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46250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46250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46250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46250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46250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46250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46250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46250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46250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2026-08-16T01:44:05Z</dcterms:created>
  <dcterms:modified xmlns:dcterms="http://purl.org/dc/terms/" xmlns:xsi="http://www.w3.org/2001/XMLSchema-instance" xsi:type="dcterms:W3CDTF">2026-08-16T01:44:05Z</dcterms:modified>
</cp:coreProperties>
</file>