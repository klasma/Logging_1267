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46303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46303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46303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46303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46303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46303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46303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46303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46303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46303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46303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46303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46303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46303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22569-2024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46303</v>
      </c>
      <c r="F30" t="inlineStr">
        <is>
          <t>SKÅNE LÄN</t>
        </is>
      </c>
      <c r="G30" t="inlineStr">
        <is>
          <t>HÖÖR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HYPERLINK("https://klasma.github.io/Logging_1267/artfynd/A 22569-2024 artfynd.xlsx", "A 22569-2024")</f>
        <v/>
      </c>
      <c r="X30">
        <f>HYPERLINK("https://klasma.github.io/Logging_1267/kartor/A 22569-2024 karta.png", "A 22569-2024")</f>
        <v/>
      </c>
      <c r="Y30">
        <f>HYPERLINK("https://klasma.github.io/Logging_1267/kartor_geotiff/A 22569-2024 georefererad karta.tif", "A 22569-2024")</f>
        <v/>
      </c>
      <c r="AA30">
        <f>HYPERLINK("https://klasma.github.io/Logging_1267/klagomål/A 22569-2024 FSC-klagomål.docx", "A 22569-2024")</f>
        <v/>
      </c>
      <c r="AB30">
        <f>HYPERLINK("https://klasma.github.io/Logging_1267/klagomålsmail/A 22569-2024 FSC-klagomål mail.docx", "A 22569-2024")</f>
        <v/>
      </c>
      <c r="AC30">
        <f>HYPERLINK("https://klasma.github.io/Logging_1267/tillsyn/A 22569-2024 tillsynsbegäran.docx", "A 22569-2024")</f>
        <v/>
      </c>
      <c r="AD30">
        <f>HYPERLINK("https://klasma.github.io/Logging_1267/tillsynsmail/A 22569-2024 tillsynsbegäran mail.docx", "A 22569-2024")</f>
        <v/>
      </c>
      <c r="AE30">
        <f>HYPERLINK("https://klasma.github.io/Logging_1267/fåglar/A 22569-2024 prioriterade fågelarter.docx", "A 22569-2024")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46303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46303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HYPERLINK("https://klasma.github.io/Logging_1267/artfynd/A 48926-2024 artfynd.xlsx", "A 48926-2024")</f>
        <v/>
      </c>
      <c r="X32">
        <f>HYPERLINK("https://klasma.github.io/Logging_1267/kartor/A 48926-2024 karta.png", "A 48926-2024")</f>
        <v/>
      </c>
      <c r="Y32">
        <f>HYPERLINK("https://klasma.github.io/Logging_1267/kartor_geotiff/A 48926-2024 georefererad karta.tif", "A 48926-2024")</f>
        <v/>
      </c>
      <c r="AA32">
        <f>HYPERLINK("https://klasma.github.io/Logging_1267/klagomål/A 48926-2024 FSC-klagomål.docx", "A 48926-2024")</f>
        <v/>
      </c>
      <c r="AB32">
        <f>HYPERLINK("https://klasma.github.io/Logging_1267/klagomålsmail/A 48926-2024 FSC-klagomål mail.docx", "A 48926-2024")</f>
        <v/>
      </c>
      <c r="AC32">
        <f>HYPERLINK("https://klasma.github.io/Logging_1267/tillsyn/A 48926-2024 tillsynsbegäran.docx", "A 48926-2024")</f>
        <v/>
      </c>
      <c r="AD32">
        <f>HYPERLINK("https://klasma.github.io/Logging_1267/tillsynsmail/A 48926-2024 tillsynsbegäran mail.docx", "A 48926-2024")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46303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54753-2022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46303</v>
      </c>
      <c r="F34" t="inlineStr">
        <is>
          <t>SKÅNE LÄN</t>
        </is>
      </c>
      <c r="G34" t="inlineStr">
        <is>
          <t>HÖÖR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HYPERLINK("https://klasma.github.io/Logging_1267/artfynd/A 54753-2022 artfynd.xlsx", "A 54753-2022")</f>
        <v/>
      </c>
      <c r="X34">
        <f>HYPERLINK("https://klasma.github.io/Logging_1267/kartor/A 54753-2022 karta.png", "A 54753-2022")</f>
        <v/>
      </c>
      <c r="Y34">
        <f>HYPERLINK("https://klasma.github.io/Logging_1267/kartor_geotiff/A 54753-2022 georefererad karta.tif", "A 54753-2022")</f>
        <v/>
      </c>
      <c r="AA34">
        <f>HYPERLINK("https://klasma.github.io/Logging_1267/klagomål/A 54753-2022 FSC-klagomål.docx", "A 54753-2022")</f>
        <v/>
      </c>
      <c r="AB34">
        <f>HYPERLINK("https://klasma.github.io/Logging_1267/klagomålsmail/A 54753-2022 FSC-klagomål mail.docx", "A 54753-2022")</f>
        <v/>
      </c>
      <c r="AC34">
        <f>HYPERLINK("https://klasma.github.io/Logging_1267/tillsyn/A 54753-2022 tillsynsbegäran.docx", "A 54753-2022")</f>
        <v/>
      </c>
      <c r="AD34">
        <f>HYPERLINK("https://klasma.github.io/Logging_1267/tillsynsmail/A 54753-2022 tillsynsbegäran mail.docx", "A 54753-2022")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46303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46303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46303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61007-2024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45645</v>
      </c>
      <c r="E38" s="1" t="n">
        <v>46303</v>
      </c>
      <c r="F38" t="inlineStr">
        <is>
          <t>SKÅNE LÄN</t>
        </is>
      </c>
      <c r="G38" t="inlineStr">
        <is>
          <t>HÖÖR</t>
        </is>
      </c>
      <c r="H38" t="inlineStr">
        <is>
          <t>Kommuner</t>
        </is>
      </c>
      <c r="I38" t="n">
        <v>0.5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Kungsfiskare</t>
        </is>
      </c>
      <c r="W38">
        <f>HYPERLINK("https://klasma.github.io/Logging_1267/artfynd/A 61007-2024 artfynd.xlsx", "A 61007-2024")</f>
        <v/>
      </c>
      <c r="X38">
        <f>HYPERLINK("https://klasma.github.io/Logging_1267/kartor/A 61007-2024 karta.png", "A 61007-2024")</f>
        <v/>
      </c>
      <c r="Y38">
        <f>HYPERLINK("https://klasma.github.io/Logging_1267/kartor_geotiff/A 61007-2024 georefererad karta.tif", "A 61007-2024")</f>
        <v/>
      </c>
      <c r="AA38">
        <f>HYPERLINK("https://klasma.github.io/Logging_1267/klagomål/A 61007-2024 FSC-klagomål.docx", "A 61007-2024")</f>
        <v/>
      </c>
      <c r="AB38">
        <f>HYPERLINK("https://klasma.github.io/Logging_1267/klagomålsmail/A 61007-2024 FSC-klagomål mail.docx", "A 61007-2024")</f>
        <v/>
      </c>
      <c r="AC38">
        <f>HYPERLINK("https://klasma.github.io/Logging_1267/tillsyn/A 61007-2024 tillsynsbegäran.docx", "A 61007-2024")</f>
        <v/>
      </c>
      <c r="AD38">
        <f>HYPERLINK("https://klasma.github.io/Logging_1267/tillsynsmail/A 61007-2024 tillsynsbegäran mail.docx", "A 61007-2024")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46303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46303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40493-2026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46295</v>
      </c>
      <c r="E41" s="1" t="n">
        <v>46303</v>
      </c>
      <c r="F41" t="inlineStr">
        <is>
          <t>SKÅNE LÄN</t>
        </is>
      </c>
      <c r="G41" t="inlineStr">
        <is>
          <t>HÖÖR</t>
        </is>
      </c>
      <c r="I41" t="n">
        <v>2.8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Kransrams</t>
        </is>
      </c>
      <c r="W41">
        <f>HYPERLINK("https://klasma.github.io/Logging_1267/artfynd/A 40493-2026 artfynd.xlsx", "A 40493-2026")</f>
        <v/>
      </c>
      <c r="X41">
        <f>HYPERLINK("https://klasma.github.io/Logging_1267/kartor/A 40493-2026 karta.png", "A 40493-2026")</f>
        <v/>
      </c>
      <c r="Y41">
        <f>HYPERLINK("https://klasma.github.io/Logging_1267/kartor_geotiff/A 40493-2026 georefererad karta.tif", "A 40493-2026")</f>
        <v/>
      </c>
      <c r="AA41">
        <f>HYPERLINK("https://klasma.github.io/Logging_1267/klagomål/A 40493-2026 FSC-klagomål.docx", "A 40493-2026")</f>
        <v/>
      </c>
      <c r="AB41">
        <f>HYPERLINK("https://klasma.github.io/Logging_1267/klagomålsmail/A 40493-2026 FSC-klagomål mail.docx", "A 40493-2026")</f>
        <v/>
      </c>
      <c r="AC41">
        <f>HYPERLINK("https://klasma.github.io/Logging_1267/tillsyn/A 40493-2026 tillsynsbegäran.docx", "A 40493-2026")</f>
        <v/>
      </c>
      <c r="AD41">
        <f>HYPERLINK("https://klasma.github.io/Logging_1267/tillsynsmail/A 40493-2026 tillsynsbegäran mail.docx", "A 40493-2026")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46303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46303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46303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46303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46303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46303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65203-2021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44515</v>
      </c>
      <c r="E52" s="1" t="n">
        <v>46303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44599</v>
      </c>
      <c r="E53" s="1" t="n">
        <v>46303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46303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46303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45755</v>
      </c>
      <c r="E56" s="1" t="n">
        <v>46303</v>
      </c>
      <c r="F56" t="inlineStr">
        <is>
          <t>SKÅNE LÄN</t>
        </is>
      </c>
      <c r="G56" t="inlineStr">
        <is>
          <t>HÖÖR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45405</v>
      </c>
      <c r="E57" s="1" t="n">
        <v>46303</v>
      </c>
      <c r="F57" t="inlineStr">
        <is>
          <t>SKÅNE LÄN</t>
        </is>
      </c>
      <c r="G57" t="inlineStr">
        <is>
          <t>HÖÖR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46303</v>
      </c>
      <c r="F58" t="inlineStr">
        <is>
          <t>SKÅNE LÄN</t>
        </is>
      </c>
      <c r="G58" t="inlineStr">
        <is>
          <t>HÖÖR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46303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45672</v>
      </c>
      <c r="E60" s="1" t="n">
        <v>46303</v>
      </c>
      <c r="F60" t="inlineStr">
        <is>
          <t>SKÅNE LÄN</t>
        </is>
      </c>
      <c r="G60" t="inlineStr">
        <is>
          <t>HÖÖR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45477</v>
      </c>
      <c r="E61" s="1" t="n">
        <v>46303</v>
      </c>
      <c r="F61" t="inlineStr">
        <is>
          <t>SKÅNE LÄN</t>
        </is>
      </c>
      <c r="G61" t="inlineStr">
        <is>
          <t>HÖÖR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45236</v>
      </c>
      <c r="E62" s="1" t="n">
        <v>46303</v>
      </c>
      <c r="F62" t="inlineStr">
        <is>
          <t>SKÅNE LÄN</t>
        </is>
      </c>
      <c r="G62" t="inlineStr">
        <is>
          <t>HÖÖR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46303</v>
      </c>
      <c r="F63" t="inlineStr">
        <is>
          <t>SKÅNE LÄN</t>
        </is>
      </c>
      <c r="G63" t="inlineStr">
        <is>
          <t>HÖÖR</t>
        </is>
      </c>
      <c r="H63" t="inlineStr">
        <is>
          <t>Övriga statliga verk och myndigheter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46303</v>
      </c>
      <c r="F64" t="inlineStr">
        <is>
          <t>SKÅNE LÄN</t>
        </is>
      </c>
      <c r="G64" t="inlineStr">
        <is>
          <t>HÖÖR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46303</v>
      </c>
      <c r="F65" t="inlineStr">
        <is>
          <t>SKÅNE LÄN</t>
        </is>
      </c>
      <c r="G65" t="inlineStr">
        <is>
          <t>HÖÖR</t>
        </is>
      </c>
      <c r="H65" t="inlineStr">
        <is>
          <t>Övriga statliga verk och myndigheter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46303</v>
      </c>
      <c r="F66" t="inlineStr">
        <is>
          <t>SKÅNE LÄN</t>
        </is>
      </c>
      <c r="G66" t="inlineStr">
        <is>
          <t>HÖÖR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43469-2024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45568</v>
      </c>
      <c r="E67" s="1" t="n">
        <v>46303</v>
      </c>
      <c r="F67" t="inlineStr">
        <is>
          <t>SKÅNE LÄN</t>
        </is>
      </c>
      <c r="G67" t="inlineStr">
        <is>
          <t>HÖÖR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46303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43877-2022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44838</v>
      </c>
      <c r="E69" s="1" t="n">
        <v>46303</v>
      </c>
      <c r="F69" t="inlineStr">
        <is>
          <t>SKÅNE LÄN</t>
        </is>
      </c>
      <c r="G69" t="inlineStr">
        <is>
          <t>HÖÖR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44838</v>
      </c>
      <c r="E70" s="1" t="n">
        <v>46303</v>
      </c>
      <c r="F70" t="inlineStr">
        <is>
          <t>SKÅNE LÄN</t>
        </is>
      </c>
      <c r="G70" t="inlineStr">
        <is>
          <t>HÖÖR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56596-2022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44888</v>
      </c>
      <c r="E71" s="1" t="n">
        <v>46303</v>
      </c>
      <c r="F71" t="inlineStr">
        <is>
          <t>SKÅNE LÄN</t>
        </is>
      </c>
      <c r="G71" t="inlineStr">
        <is>
          <t>HÖÖR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46303</v>
      </c>
      <c r="F72" t="inlineStr">
        <is>
          <t>SKÅNE LÄN</t>
        </is>
      </c>
      <c r="G72" t="inlineStr">
        <is>
          <t>HÖÖR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65200-2021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44515</v>
      </c>
      <c r="E73" s="1" t="n">
        <v>46303</v>
      </c>
      <c r="F73" t="inlineStr">
        <is>
          <t>SKÅNE LÄN</t>
        </is>
      </c>
      <c r="G73" t="inlineStr">
        <is>
          <t>HÖÖR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45700</v>
      </c>
      <c r="E74" s="1" t="n">
        <v>46303</v>
      </c>
      <c r="F74" t="inlineStr">
        <is>
          <t>SKÅNE LÄN</t>
        </is>
      </c>
      <c r="G74" t="inlineStr">
        <is>
          <t>HÖÖR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46303</v>
      </c>
      <c r="F75" t="inlineStr">
        <is>
          <t>SKÅNE LÄN</t>
        </is>
      </c>
      <c r="G75" t="inlineStr">
        <is>
          <t>HÖÖR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44890</v>
      </c>
      <c r="E76" s="1" t="n">
        <v>46303</v>
      </c>
      <c r="F76" t="inlineStr">
        <is>
          <t>SKÅNE LÄN</t>
        </is>
      </c>
      <c r="G76" t="inlineStr">
        <is>
          <t>HÖÖR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45406</v>
      </c>
      <c r="E77" s="1" t="n">
        <v>46303</v>
      </c>
      <c r="F77" t="inlineStr">
        <is>
          <t>SKÅNE LÄN</t>
        </is>
      </c>
      <c r="G77" t="inlineStr">
        <is>
          <t>HÖÖR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46303</v>
      </c>
      <c r="F78" t="inlineStr">
        <is>
          <t>SKÅNE LÄN</t>
        </is>
      </c>
      <c r="G78" t="inlineStr">
        <is>
          <t>HÖÖR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46303</v>
      </c>
      <c r="F79" t="inlineStr">
        <is>
          <t>SKÅNE LÄN</t>
        </is>
      </c>
      <c r="G79" t="inlineStr">
        <is>
          <t>HÖÖR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45471</v>
      </c>
      <c r="E80" s="1" t="n">
        <v>46303</v>
      </c>
      <c r="F80" t="inlineStr">
        <is>
          <t>SKÅNE LÄN</t>
        </is>
      </c>
      <c r="G80" t="inlineStr">
        <is>
          <t>HÖÖR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46303</v>
      </c>
      <c r="F81" t="inlineStr">
        <is>
          <t>SKÅNE LÄN</t>
        </is>
      </c>
      <c r="G81" t="inlineStr">
        <is>
          <t>HÖÖR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46303</v>
      </c>
      <c r="F82" t="inlineStr">
        <is>
          <t>SKÅNE LÄN</t>
        </is>
      </c>
      <c r="G82" t="inlineStr">
        <is>
          <t>HÖÖR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46303</v>
      </c>
      <c r="F83" t="inlineStr">
        <is>
          <t>SKÅNE LÄN</t>
        </is>
      </c>
      <c r="G83" t="inlineStr">
        <is>
          <t>HÖÖR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61019-2024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45645</v>
      </c>
      <c r="E84" s="1" t="n">
        <v>46303</v>
      </c>
      <c r="F84" t="inlineStr">
        <is>
          <t>SKÅNE LÄN</t>
        </is>
      </c>
      <c r="G84" t="inlineStr">
        <is>
          <t>HÖÖR</t>
        </is>
      </c>
      <c r="H84" t="inlineStr">
        <is>
          <t>Kommuner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46303</v>
      </c>
      <c r="F85" t="inlineStr">
        <is>
          <t>SKÅNE LÄN</t>
        </is>
      </c>
      <c r="G85" t="inlineStr">
        <is>
          <t>HÖÖR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46303</v>
      </c>
      <c r="F86" t="inlineStr">
        <is>
          <t>SKÅNE LÄN</t>
        </is>
      </c>
      <c r="G86" t="inlineStr">
        <is>
          <t>HÖÖR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46303</v>
      </c>
      <c r="F87" t="inlineStr">
        <is>
          <t>SKÅNE LÄN</t>
        </is>
      </c>
      <c r="G87" t="inlineStr">
        <is>
          <t>HÖÖR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46303</v>
      </c>
      <c r="F88" t="inlineStr">
        <is>
          <t>SKÅNE LÄN</t>
        </is>
      </c>
      <c r="G88" t="inlineStr">
        <is>
          <t>HÖÖR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46303</v>
      </c>
      <c r="F89" t="inlineStr">
        <is>
          <t>SKÅNE LÄN</t>
        </is>
      </c>
      <c r="G89" t="inlineStr">
        <is>
          <t>HÖÖR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46303</v>
      </c>
      <c r="F90" t="inlineStr">
        <is>
          <t>SKÅNE LÄN</t>
        </is>
      </c>
      <c r="G90" t="inlineStr">
        <is>
          <t>HÖÖR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46303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46303</v>
      </c>
      <c r="F92" t="inlineStr">
        <is>
          <t>SKÅNE LÄN</t>
        </is>
      </c>
      <c r="G92" t="inlineStr">
        <is>
          <t>HÖÖR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46303</v>
      </c>
      <c r="F93" t="inlineStr">
        <is>
          <t>SKÅNE LÄN</t>
        </is>
      </c>
      <c r="G93" t="inlineStr">
        <is>
          <t>HÖÖR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46303</v>
      </c>
      <c r="F94" t="inlineStr">
        <is>
          <t>SKÅNE LÄN</t>
        </is>
      </c>
      <c r="G94" t="inlineStr">
        <is>
          <t>HÖÖR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46303</v>
      </c>
      <c r="F95" t="inlineStr">
        <is>
          <t>SKÅNE LÄN</t>
        </is>
      </c>
      <c r="G95" t="inlineStr">
        <is>
          <t>HÖÖR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46303</v>
      </c>
      <c r="F96" t="inlineStr">
        <is>
          <t>SKÅNE LÄN</t>
        </is>
      </c>
      <c r="G96" t="inlineStr">
        <is>
          <t>HÖÖR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46303</v>
      </c>
      <c r="F97" t="inlineStr">
        <is>
          <t>SKÅNE LÄN</t>
        </is>
      </c>
      <c r="G97" t="inlineStr">
        <is>
          <t>HÖÖR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46303</v>
      </c>
      <c r="F98" t="inlineStr">
        <is>
          <t>SKÅNE LÄN</t>
        </is>
      </c>
      <c r="G98" t="inlineStr">
        <is>
          <t>HÖÖR</t>
        </is>
      </c>
      <c r="I98" t="n">
        <v>28.4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60425-2022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44911</v>
      </c>
      <c r="E99" s="1" t="n">
        <v>46303</v>
      </c>
      <c r="F99" t="inlineStr">
        <is>
          <t>SKÅNE LÄN</t>
        </is>
      </c>
      <c r="G99" t="inlineStr">
        <is>
          <t>HÖÖR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61087-2022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44915</v>
      </c>
      <c r="E100" s="1" t="n">
        <v>46303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45323</v>
      </c>
      <c r="E101" s="1" t="n">
        <v>46303</v>
      </c>
      <c r="F101" t="inlineStr">
        <is>
          <t>SKÅNE LÄN</t>
        </is>
      </c>
      <c r="G101" t="inlineStr">
        <is>
          <t>HÖÖR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45804</v>
      </c>
      <c r="E102" s="1" t="n">
        <v>46303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44848</v>
      </c>
      <c r="E103" s="1" t="n">
        <v>46303</v>
      </c>
      <c r="F103" t="inlineStr">
        <is>
          <t>SKÅNE LÄN</t>
        </is>
      </c>
      <c r="G103" t="inlineStr">
        <is>
          <t>HÖÖR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46303</v>
      </c>
      <c r="F104" t="inlineStr">
        <is>
          <t>SKÅNE LÄN</t>
        </is>
      </c>
      <c r="G104" t="inlineStr">
        <is>
          <t>HÖÖR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44838</v>
      </c>
      <c r="E105" s="1" t="n">
        <v>46303</v>
      </c>
      <c r="F105" t="inlineStr">
        <is>
          <t>SKÅNE LÄN</t>
        </is>
      </c>
      <c r="G105" t="inlineStr">
        <is>
          <t>HÖÖR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46303</v>
      </c>
      <c r="F106" t="inlineStr">
        <is>
          <t>SKÅNE LÄN</t>
        </is>
      </c>
      <c r="G106" t="inlineStr">
        <is>
          <t>HÖÖR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46303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46303</v>
      </c>
      <c r="F108" t="inlineStr">
        <is>
          <t>SKÅNE LÄN</t>
        </is>
      </c>
      <c r="G108" t="inlineStr">
        <is>
          <t>HÖÖR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46303</v>
      </c>
      <c r="F109" t="inlineStr">
        <is>
          <t>SKÅNE LÄN</t>
        </is>
      </c>
      <c r="G109" t="inlineStr">
        <is>
          <t>HÖÖR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46303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46303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46303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46303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44608</v>
      </c>
      <c r="E114" s="1" t="n">
        <v>46303</v>
      </c>
      <c r="F114" t="inlineStr">
        <is>
          <t>SKÅNE LÄN</t>
        </is>
      </c>
      <c r="G114" t="inlineStr">
        <is>
          <t>HÖÖR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46303</v>
      </c>
      <c r="F115" t="inlineStr">
        <is>
          <t>SKÅNE LÄN</t>
        </is>
      </c>
      <c r="G115" t="inlineStr">
        <is>
          <t>HÖÖR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46303</v>
      </c>
      <c r="F116" t="inlineStr">
        <is>
          <t>SKÅNE LÄN</t>
        </is>
      </c>
      <c r="G116" t="inlineStr">
        <is>
          <t>HÖÖR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45318</v>
      </c>
      <c r="E117" s="1" t="n">
        <v>46303</v>
      </c>
      <c r="F117" t="inlineStr">
        <is>
          <t>SKÅNE LÄN</t>
        </is>
      </c>
      <c r="G117" t="inlineStr">
        <is>
          <t>HÖÖR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45450</v>
      </c>
      <c r="E118" s="1" t="n">
        <v>46303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10007-2022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44621</v>
      </c>
      <c r="E119" s="1" t="n">
        <v>46303</v>
      </c>
      <c r="F119" t="inlineStr">
        <is>
          <t>SKÅNE LÄN</t>
        </is>
      </c>
      <c r="G119" t="inlineStr">
        <is>
          <t>HÖÖR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45113</v>
      </c>
      <c r="E120" s="1" t="n">
        <v>46303</v>
      </c>
      <c r="F120" t="inlineStr">
        <is>
          <t>SKÅNE LÄN</t>
        </is>
      </c>
      <c r="G120" t="inlineStr">
        <is>
          <t>HÖÖR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46303</v>
      </c>
      <c r="F121" t="inlineStr">
        <is>
          <t>SKÅNE LÄN</t>
        </is>
      </c>
      <c r="G121" t="inlineStr">
        <is>
          <t>HÖÖR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46303</v>
      </c>
      <c r="F122" t="inlineStr">
        <is>
          <t>SKÅNE LÄN</t>
        </is>
      </c>
      <c r="G122" t="inlineStr">
        <is>
          <t>HÖÖR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29285-2025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46303</v>
      </c>
      <c r="F123" t="inlineStr">
        <is>
          <t>SKÅNE LÄN</t>
        </is>
      </c>
      <c r="G123" t="inlineStr">
        <is>
          <t>HÖÖR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41623-2023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45175</v>
      </c>
      <c r="E124" s="1" t="n">
        <v>46303</v>
      </c>
      <c r="F124" t="inlineStr">
        <is>
          <t>SKÅNE LÄN</t>
        </is>
      </c>
      <c r="G124" t="inlineStr">
        <is>
          <t>HÖÖR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46303</v>
      </c>
      <c r="F125" t="inlineStr">
        <is>
          <t>SKÅNE LÄN</t>
        </is>
      </c>
      <c r="G125" t="inlineStr">
        <is>
          <t>HÖÖR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45539</v>
      </c>
      <c r="E126" s="1" t="n">
        <v>46303</v>
      </c>
      <c r="F126" t="inlineStr">
        <is>
          <t>SKÅNE LÄN</t>
        </is>
      </c>
      <c r="G126" t="inlineStr">
        <is>
          <t>HÖÖR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46303</v>
      </c>
      <c r="F127" t="inlineStr">
        <is>
          <t>SKÅNE LÄN</t>
        </is>
      </c>
      <c r="G127" t="inlineStr">
        <is>
          <t>HÖÖR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3480-2022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44585</v>
      </c>
      <c r="E128" s="1" t="n">
        <v>46303</v>
      </c>
      <c r="F128" t="inlineStr">
        <is>
          <t>SKÅNE LÄN</t>
        </is>
      </c>
      <c r="G128" t="inlineStr">
        <is>
          <t>HÖÖR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46303</v>
      </c>
      <c r="F129" t="inlineStr">
        <is>
          <t>SKÅNE LÄN</t>
        </is>
      </c>
      <c r="G129" t="inlineStr">
        <is>
          <t>HÖÖR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46303</v>
      </c>
      <c r="F130" t="inlineStr">
        <is>
          <t>SKÅNE LÄN</t>
        </is>
      </c>
      <c r="G130" t="inlineStr">
        <is>
          <t>HÖÖR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46303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46303</v>
      </c>
      <c r="F132" t="inlineStr">
        <is>
          <t>SKÅNE LÄN</t>
        </is>
      </c>
      <c r="G132" t="inlineStr">
        <is>
          <t>HÖÖR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46303</v>
      </c>
      <c r="F133" t="inlineStr">
        <is>
          <t>SKÅNE LÄN</t>
        </is>
      </c>
      <c r="G133" t="inlineStr">
        <is>
          <t>HÖÖR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46303</v>
      </c>
      <c r="F134" t="inlineStr">
        <is>
          <t>SKÅNE LÄN</t>
        </is>
      </c>
      <c r="G134" t="inlineStr">
        <is>
          <t>HÖÖR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46303</v>
      </c>
      <c r="F135" t="inlineStr">
        <is>
          <t>SKÅNE LÄN</t>
        </is>
      </c>
      <c r="G135" t="inlineStr">
        <is>
          <t>HÖÖR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46303</v>
      </c>
      <c r="F136" t="inlineStr">
        <is>
          <t>SKÅNE LÄN</t>
        </is>
      </c>
      <c r="G136" t="inlineStr">
        <is>
          <t>HÖÖR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46303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46303</v>
      </c>
      <c r="F138" t="inlineStr">
        <is>
          <t>SKÅNE LÄN</t>
        </is>
      </c>
      <c r="G138" t="inlineStr">
        <is>
          <t>HÖÖR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46303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46303</v>
      </c>
      <c r="F140" t="inlineStr">
        <is>
          <t>SKÅNE LÄN</t>
        </is>
      </c>
      <c r="G140" t="inlineStr">
        <is>
          <t>HÖÖR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46303</v>
      </c>
      <c r="F141" t="inlineStr">
        <is>
          <t>SKÅNE LÄN</t>
        </is>
      </c>
      <c r="G141" t="inlineStr">
        <is>
          <t>HÖÖR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7306-2023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44970</v>
      </c>
      <c r="E142" s="1" t="n">
        <v>46303</v>
      </c>
      <c r="F142" t="inlineStr">
        <is>
          <t>SKÅNE LÄN</t>
        </is>
      </c>
      <c r="G142" t="inlineStr">
        <is>
          <t>HÖÖR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46303</v>
      </c>
      <c r="F143" t="inlineStr">
        <is>
          <t>SKÅNE LÄN</t>
        </is>
      </c>
      <c r="G143" t="inlineStr">
        <is>
          <t>HÖÖR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46303</v>
      </c>
      <c r="F144" t="inlineStr">
        <is>
          <t>SKÅNE LÄN</t>
        </is>
      </c>
      <c r="G144" t="inlineStr">
        <is>
          <t>HÖÖR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46303</v>
      </c>
      <c r="F145" t="inlineStr">
        <is>
          <t>SKÅNE LÄN</t>
        </is>
      </c>
      <c r="G145" t="inlineStr">
        <is>
          <t>HÖÖR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46303</v>
      </c>
      <c r="F146" t="inlineStr">
        <is>
          <t>SKÅNE LÄN</t>
        </is>
      </c>
      <c r="G146" t="inlineStr">
        <is>
          <t>HÖÖR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46303</v>
      </c>
      <c r="F147" t="inlineStr">
        <is>
          <t>SKÅNE LÄN</t>
        </is>
      </c>
      <c r="G147" t="inlineStr">
        <is>
          <t>HÖÖR</t>
        </is>
      </c>
      <c r="I147" t="n">
        <v>12.3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46303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46303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46303</v>
      </c>
      <c r="F150" t="inlineStr">
        <is>
          <t>SKÅNE LÄN</t>
        </is>
      </c>
      <c r="G150" t="inlineStr">
        <is>
          <t>HÖÖR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46303</v>
      </c>
      <c r="F151" t="inlineStr">
        <is>
          <t>SKÅNE LÄN</t>
        </is>
      </c>
      <c r="G151" t="inlineStr">
        <is>
          <t>HÖÖR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46303</v>
      </c>
      <c r="F152" t="inlineStr">
        <is>
          <t>SKÅNE LÄN</t>
        </is>
      </c>
      <c r="G152" t="inlineStr">
        <is>
          <t>HÖÖR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46303</v>
      </c>
      <c r="F153" t="inlineStr">
        <is>
          <t>SKÅNE LÄN</t>
        </is>
      </c>
      <c r="G153" t="inlineStr">
        <is>
          <t>HÖÖR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46303</v>
      </c>
      <c r="F154" t="inlineStr">
        <is>
          <t>SKÅNE LÄN</t>
        </is>
      </c>
      <c r="G154" t="inlineStr">
        <is>
          <t>HÖÖR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46303</v>
      </c>
      <c r="F155" t="inlineStr">
        <is>
          <t>SKÅNE LÄN</t>
        </is>
      </c>
      <c r="G155" t="inlineStr">
        <is>
          <t>HÖÖR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46303</v>
      </c>
      <c r="F156" t="inlineStr">
        <is>
          <t>SKÅNE LÄN</t>
        </is>
      </c>
      <c r="G156" t="inlineStr">
        <is>
          <t>HÖÖR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45154</v>
      </c>
      <c r="E157" s="1" t="n">
        <v>46303</v>
      </c>
      <c r="F157" t="inlineStr">
        <is>
          <t>SKÅNE LÄN</t>
        </is>
      </c>
      <c r="G157" t="inlineStr">
        <is>
          <t>HÖÖR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46303</v>
      </c>
      <c r="F158" t="inlineStr">
        <is>
          <t>SKÅNE LÄN</t>
        </is>
      </c>
      <c r="G158" t="inlineStr">
        <is>
          <t>HÖÖR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45012</v>
      </c>
      <c r="E159" s="1" t="n">
        <v>46303</v>
      </c>
      <c r="F159" t="inlineStr">
        <is>
          <t>SKÅNE LÄN</t>
        </is>
      </c>
      <c r="G159" t="inlineStr">
        <is>
          <t>HÖÖR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46303</v>
      </c>
      <c r="F160" t="inlineStr">
        <is>
          <t>SKÅNE LÄN</t>
        </is>
      </c>
      <c r="G160" t="inlineStr">
        <is>
          <t>HÖÖR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45001</v>
      </c>
      <c r="E161" s="1" t="n">
        <v>46303</v>
      </c>
      <c r="F161" t="inlineStr">
        <is>
          <t>SKÅNE LÄN</t>
        </is>
      </c>
      <c r="G161" t="inlineStr">
        <is>
          <t>HÖÖR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46303</v>
      </c>
      <c r="F162" t="inlineStr">
        <is>
          <t>SKÅNE LÄN</t>
        </is>
      </c>
      <c r="G162" t="inlineStr">
        <is>
          <t>HÖÖR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45575</v>
      </c>
      <c r="E163" s="1" t="n">
        <v>46303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46303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46303</v>
      </c>
      <c r="F165" t="inlineStr">
        <is>
          <t>SKÅNE LÄN</t>
        </is>
      </c>
      <c r="G165" t="inlineStr">
        <is>
          <t>HÖÖR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45770</v>
      </c>
      <c r="E166" s="1" t="n">
        <v>46303</v>
      </c>
      <c r="F166" t="inlineStr">
        <is>
          <t>SKÅNE LÄN</t>
        </is>
      </c>
      <c r="G166" t="inlineStr">
        <is>
          <t>HÖÖR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44741</v>
      </c>
      <c r="E167" s="1" t="n">
        <v>46303</v>
      </c>
      <c r="F167" t="inlineStr">
        <is>
          <t>SKÅNE LÄN</t>
        </is>
      </c>
      <c r="G167" t="inlineStr">
        <is>
          <t>HÖÖR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46303</v>
      </c>
      <c r="F168" t="inlineStr">
        <is>
          <t>SKÅNE LÄN</t>
        </is>
      </c>
      <c r="G168" t="inlineStr">
        <is>
          <t>HÖÖR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45978</v>
      </c>
      <c r="E169" s="1" t="n">
        <v>46303</v>
      </c>
      <c r="F169" t="inlineStr">
        <is>
          <t>SKÅNE LÄN</t>
        </is>
      </c>
      <c r="G169" t="inlineStr">
        <is>
          <t>HÖÖR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46023</v>
      </c>
      <c r="E170" s="1" t="n">
        <v>46303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46023</v>
      </c>
      <c r="E171" s="1" t="n">
        <v>46303</v>
      </c>
      <c r="F171" t="inlineStr">
        <is>
          <t>SKÅNE LÄN</t>
        </is>
      </c>
      <c r="G171" t="inlineStr">
        <is>
          <t>HÖÖR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46303</v>
      </c>
      <c r="F172" t="inlineStr">
        <is>
          <t>SKÅNE LÄN</t>
        </is>
      </c>
      <c r="G172" t="inlineStr">
        <is>
          <t>HÖÖR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46303</v>
      </c>
      <c r="F173" t="inlineStr">
        <is>
          <t>SKÅNE LÄN</t>
        </is>
      </c>
      <c r="G173" t="inlineStr">
        <is>
          <t>HÖÖR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46303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44573</v>
      </c>
      <c r="E175" s="1" t="n">
        <v>46303</v>
      </c>
      <c r="F175" t="inlineStr">
        <is>
          <t>SKÅNE LÄN</t>
        </is>
      </c>
      <c r="G175" t="inlineStr">
        <is>
          <t>HÖÖR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63139-2023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46303</v>
      </c>
      <c r="F176" t="inlineStr">
        <is>
          <t>SKÅNE LÄN</t>
        </is>
      </c>
      <c r="G176" t="inlineStr">
        <is>
          <t>HÖÖR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46303</v>
      </c>
      <c r="F177" t="inlineStr">
        <is>
          <t>SKÅNE LÄN</t>
        </is>
      </c>
      <c r="G177" t="inlineStr">
        <is>
          <t>HÖÖR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46303</v>
      </c>
      <c r="F178" t="inlineStr">
        <is>
          <t>SKÅNE LÄN</t>
        </is>
      </c>
      <c r="G178" t="inlineStr">
        <is>
          <t>HÖÖR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46303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46303</v>
      </c>
      <c r="F180" t="inlineStr">
        <is>
          <t>SKÅNE LÄN</t>
        </is>
      </c>
      <c r="G180" t="inlineStr">
        <is>
          <t>HÖÖR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45534</v>
      </c>
      <c r="E181" s="1" t="n">
        <v>46303</v>
      </c>
      <c r="F181" t="inlineStr">
        <is>
          <t>SKÅNE LÄN</t>
        </is>
      </c>
      <c r="G181" t="inlineStr">
        <is>
          <t>HÖÖR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46303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46303</v>
      </c>
      <c r="F183" t="inlineStr">
        <is>
          <t>SKÅNE LÄN</t>
        </is>
      </c>
      <c r="G183" t="inlineStr">
        <is>
          <t>HÖÖR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8290-2026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46064</v>
      </c>
      <c r="E184" s="1" t="n">
        <v>46303</v>
      </c>
      <c r="F184" t="inlineStr">
        <is>
          <t>SKÅNE LÄN</t>
        </is>
      </c>
      <c r="G184" t="inlineStr">
        <is>
          <t>HÖÖR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46303</v>
      </c>
      <c r="F185" t="inlineStr">
        <is>
          <t>SKÅNE LÄN</t>
        </is>
      </c>
      <c r="G185" t="inlineStr">
        <is>
          <t>HÖÖR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46303</v>
      </c>
      <c r="F186" t="inlineStr">
        <is>
          <t>SKÅNE LÄN</t>
        </is>
      </c>
      <c r="G186" t="inlineStr">
        <is>
          <t>HÖÖR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45987</v>
      </c>
      <c r="E187" s="1" t="n">
        <v>46303</v>
      </c>
      <c r="F187" t="inlineStr">
        <is>
          <t>SKÅNE LÄN</t>
        </is>
      </c>
      <c r="G187" t="inlineStr">
        <is>
          <t>HÖÖR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46303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46303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46303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46205</v>
      </c>
      <c r="E191" s="1" t="n">
        <v>46303</v>
      </c>
      <c r="F191" t="inlineStr">
        <is>
          <t>SKÅNE LÄN</t>
        </is>
      </c>
      <c r="G191" t="inlineStr">
        <is>
          <t>HÖÖR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46303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46303</v>
      </c>
      <c r="F193" t="inlineStr">
        <is>
          <t>SKÅNE LÄN</t>
        </is>
      </c>
      <c r="G193" t="inlineStr">
        <is>
          <t>HÖÖR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46303</v>
      </c>
      <c r="F194" t="inlineStr">
        <is>
          <t>SKÅNE LÄN</t>
        </is>
      </c>
      <c r="G194" t="inlineStr">
        <is>
          <t>HÖÖR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46303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46303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46303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46303</v>
      </c>
      <c r="F198" t="inlineStr">
        <is>
          <t>SKÅNE LÄN</t>
        </is>
      </c>
      <c r="G198" t="inlineStr">
        <is>
          <t>HÖÖR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17693-2026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46121</v>
      </c>
      <c r="E199" s="1" t="n">
        <v>46303</v>
      </c>
      <c r="F199" t="inlineStr">
        <is>
          <t>SKÅNE LÄN</t>
        </is>
      </c>
      <c r="G199" t="inlineStr">
        <is>
          <t>HÖÖR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46303</v>
      </c>
      <c r="F200" t="inlineStr">
        <is>
          <t>SKÅNE LÄN</t>
        </is>
      </c>
      <c r="G200" t="inlineStr">
        <is>
          <t>HÖÖR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45338</v>
      </c>
      <c r="E201" s="1" t="n">
        <v>46303</v>
      </c>
      <c r="F201" t="inlineStr">
        <is>
          <t>SKÅNE LÄN</t>
        </is>
      </c>
      <c r="G201" t="inlineStr">
        <is>
          <t>HÖÖR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45057</v>
      </c>
      <c r="E202" s="1" t="n">
        <v>46303</v>
      </c>
      <c r="F202" t="inlineStr">
        <is>
          <t>SKÅNE LÄN</t>
        </is>
      </c>
      <c r="G202" t="inlineStr">
        <is>
          <t>HÖÖR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46303</v>
      </c>
      <c r="F203" t="inlineStr">
        <is>
          <t>SKÅNE LÄN</t>
        </is>
      </c>
      <c r="G203" t="inlineStr">
        <is>
          <t>HÖÖR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46303</v>
      </c>
      <c r="F204" t="inlineStr">
        <is>
          <t>SKÅNE LÄN</t>
        </is>
      </c>
      <c r="G204" t="inlineStr">
        <is>
          <t>HÖÖR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46303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46303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46303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46303</v>
      </c>
      <c r="F208" t="inlineStr">
        <is>
          <t>SKÅNE LÄN</t>
        </is>
      </c>
      <c r="G208" t="inlineStr">
        <is>
          <t>HÖÖR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36392-2026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46268</v>
      </c>
      <c r="E209" s="1" t="n">
        <v>46303</v>
      </c>
      <c r="F209" t="inlineStr">
        <is>
          <t>SKÅNE LÄN</t>
        </is>
      </c>
      <c r="G209" t="inlineStr">
        <is>
          <t>HÖÖR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46251</v>
      </c>
      <c r="E210" s="1" t="n">
        <v>46303</v>
      </c>
      <c r="F210" t="inlineStr">
        <is>
          <t>SKÅNE LÄN</t>
        </is>
      </c>
      <c r="G210" t="inlineStr">
        <is>
          <t>HÖÖR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46273</v>
      </c>
      <c r="E211" s="1" t="n">
        <v>46303</v>
      </c>
      <c r="F211" t="inlineStr">
        <is>
          <t>SKÅNE LÄN</t>
        </is>
      </c>
      <c r="G211" t="inlineStr">
        <is>
          <t>HÖÖR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46303</v>
      </c>
      <c r="F212" t="inlineStr">
        <is>
          <t>SKÅNE LÄN</t>
        </is>
      </c>
      <c r="G212" t="inlineStr">
        <is>
          <t>HÖÖR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46303</v>
      </c>
      <c r="F213" t="inlineStr">
        <is>
          <t>SKÅNE LÄN</t>
        </is>
      </c>
      <c r="G213" t="inlineStr">
        <is>
          <t>HÖÖR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46191</v>
      </c>
      <c r="E214" s="1" t="n">
        <v>46303</v>
      </c>
      <c r="F214" t="inlineStr">
        <is>
          <t>SKÅNE LÄN</t>
        </is>
      </c>
      <c r="G214" t="inlineStr">
        <is>
          <t>HÖÖR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46303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46303</v>
      </c>
      <c r="F216" t="inlineStr">
        <is>
          <t>SKÅNE LÄN</t>
        </is>
      </c>
      <c r="G216" t="inlineStr">
        <is>
          <t>HÖÖR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46303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46282</v>
      </c>
      <c r="E218" s="1" t="n">
        <v>46303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46303</v>
      </c>
      <c r="F219" t="inlineStr">
        <is>
          <t>SKÅNE LÄN</t>
        </is>
      </c>
      <c r="G219" t="inlineStr">
        <is>
          <t>HÖÖR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46303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46303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46303</v>
      </c>
      <c r="F222" t="inlineStr">
        <is>
          <t>SKÅNE LÄN</t>
        </is>
      </c>
      <c r="G222" t="inlineStr">
        <is>
          <t>HÖÖR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46303</v>
      </c>
      <c r="F223" t="inlineStr">
        <is>
          <t>SKÅNE LÄN</t>
        </is>
      </c>
      <c r="G223" t="inlineStr">
        <is>
          <t>HÖÖR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46303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46303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46303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46303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46303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46303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46303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46303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46303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46303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46303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46303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46303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46303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46303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46303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46303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2026-10-08T02:04:51Z</dcterms:created>
  <dcterms:modified xmlns:dcterms="http://purl.org/dc/terms/" xmlns:xsi="http://www.w3.org/2001/XMLSchema-instance" xsi:type="dcterms:W3CDTF">2026-10-08T02:04:51Z</dcterms:modified>
</cp:coreProperties>
</file>