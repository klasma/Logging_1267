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46218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46218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46218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46218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46218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46218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46218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46218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Brunfläckig pärlemorfjäril
Loppstarr
Ängsstarr
Bandpraktmossa
Sankt pers nycklar</t>
        </is>
      </c>
      <c r="V10">
        <f>HYPERLINK("https://klasma.github.io/Logging_1267/artfynd/A 42692-2022 artfynd.xlsx", "A 42692-2022")</f>
        <v/>
      </c>
      <c r="W10">
        <f>HYPERLINK("https://klasma.github.io/Logging_1267/kartor/A 42692-2022 karta.png", "A 42692-2022")</f>
        <v/>
      </c>
      <c r="Y10">
        <f>HYPERLINK("https://klasma.github.io/Logging_1267/klagomål/A 42692-2022 FSC-klagomål.docx", "A 42692-2022")</f>
        <v/>
      </c>
      <c r="Z10">
        <f>HYPERLINK("https://klasma.github.io/Logging_1267/klagomålsmail/A 42692-2022 FSC-klagomål mail.docx", "A 42692-2022")</f>
        <v/>
      </c>
      <c r="AA10">
        <f>HYPERLINK("https://klasma.github.io/Logging_1267/tillsyn/A 42692-2022 tillsynsbegäran.docx", "A 42692-2022")</f>
        <v/>
      </c>
      <c r="AB10">
        <f>HYPERLINK("https://klasma.github.io/Logging_1267/tillsynsmail/A 42692-2022 tillsynsbegäran mail.docx", "A 42692-2022")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46218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Björktrast
Rödvingetrast
Spillkråka
Sångsvan
Trana</t>
        </is>
      </c>
      <c r="V11">
        <f>HYPERLINK("https://klasma.github.io/Logging_1267/artfynd/A 24278-2023 artfynd.xlsx", "A 24278-2023")</f>
        <v/>
      </c>
      <c r="W11">
        <f>HYPERLINK("https://klasma.github.io/Logging_1267/kartor/A 24278-2023 karta.png", "A 24278-2023")</f>
        <v/>
      </c>
      <c r="Y11">
        <f>HYPERLINK("https://klasma.github.io/Logging_1267/klagomål/A 24278-2023 FSC-klagomål.docx", "A 24278-2023")</f>
        <v/>
      </c>
      <c r="Z11">
        <f>HYPERLINK("https://klasma.github.io/Logging_1267/klagomålsmail/A 24278-2023 FSC-klagomål mail.docx", "A 24278-2023")</f>
        <v/>
      </c>
      <c r="AA11">
        <f>HYPERLINK("https://klasma.github.io/Logging_1267/tillsyn/A 24278-2023 tillsynsbegäran.docx", "A 24278-2023")</f>
        <v/>
      </c>
      <c r="AB11">
        <f>HYPERLINK("https://klasma.github.io/Logging_1267/tillsynsmail/A 24278-2023 tillsynsbegäran mail.docx", "A 24278-2023")</f>
        <v/>
      </c>
      <c r="AC11">
        <f>HYPERLINK("https://klasma.github.io/Logging_1267/fåglar/A 24278-2023 prioriterade fågelarter.docx", "A 24278-2023")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46218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s="2" t="inlineStr">
        <is>
          <t>Grönsångare
Småjungfrukam
Spillkråka
Kungsfågel
Skogsduva</t>
        </is>
      </c>
      <c r="V12">
        <f>HYPERLINK("https://klasma.github.io/Logging_1267/artfynd/A 8315-2026 artfynd.xlsx", "A 8315-2026")</f>
        <v/>
      </c>
      <c r="W12">
        <f>HYPERLINK("https://klasma.github.io/Logging_1267/kartor/A 8315-2026 karta.png", "A 8315-2026")</f>
        <v/>
      </c>
      <c r="Y12">
        <f>HYPERLINK("https://klasma.github.io/Logging_1267/klagomål/A 8315-2026 FSC-klagomål.docx", "A 8315-2026")</f>
        <v/>
      </c>
      <c r="Z12">
        <f>HYPERLINK("https://klasma.github.io/Logging_1267/klagomålsmail/A 8315-2026 FSC-klagomål mail.docx", "A 8315-2026")</f>
        <v/>
      </c>
      <c r="AA12">
        <f>HYPERLINK("https://klasma.github.io/Logging_1267/tillsyn/A 8315-2026 tillsynsbegäran.docx", "A 8315-2026")</f>
        <v/>
      </c>
      <c r="AB12">
        <f>HYPERLINK("https://klasma.github.io/Logging_1267/tillsynsmail/A 8315-2026 tillsynsbegäran mail.docx", "A 8315-2026")</f>
        <v/>
      </c>
      <c r="AC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46218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46218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46218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Y15">
        <f>HYPERLINK("https://klasma.github.io/Logging_1267/klagomål/A 12111-2025 FSC-klagomål.docx", "A 12111-2025")</f>
        <v/>
      </c>
      <c r="Z15">
        <f>HYPERLINK("https://klasma.github.io/Logging_1267/klagomålsmail/A 12111-2025 FSC-klagomål mail.docx", "A 12111-2025")</f>
        <v/>
      </c>
      <c r="AA15">
        <f>HYPERLINK("https://klasma.github.io/Logging_1267/tillsyn/A 12111-2025 tillsynsbegäran.docx", "A 12111-2025")</f>
        <v/>
      </c>
      <c r="AB15">
        <f>HYPERLINK("https://klasma.github.io/Logging_1267/tillsynsmail/A 12111-2025 tillsynsbegäran mail.docx", "A 12111-2025")</f>
        <v/>
      </c>
      <c r="AC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46218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46218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46218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46218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46218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46218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46218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Skogsbräsma
Revlummer</t>
        </is>
      </c>
      <c r="V22">
        <f>HYPERLINK("https://klasma.github.io/Logging_1267/artfynd/A 2942-2024 artfynd.xlsx", "A 2942-2024")</f>
        <v/>
      </c>
      <c r="W22">
        <f>HYPERLINK("https://klasma.github.io/Logging_1267/kartor/A 2942-2024 karta.png", "A 2942-2024")</f>
        <v/>
      </c>
      <c r="Y22">
        <f>HYPERLINK("https://klasma.github.io/Logging_1267/klagomål/A 2942-2024 FSC-klagomål.docx", "A 2942-2024")</f>
        <v/>
      </c>
      <c r="Z22">
        <f>HYPERLINK("https://klasma.github.io/Logging_1267/klagomålsmail/A 2942-2024 FSC-klagomål mail.docx", "A 2942-2024")</f>
        <v/>
      </c>
      <c r="AA22">
        <f>HYPERLINK("https://klasma.github.io/Logging_1267/tillsyn/A 2942-2024 tillsynsbegäran.docx", "A 2942-2024")</f>
        <v/>
      </c>
      <c r="AB22">
        <f>HYPERLINK("https://klasma.github.io/Logging_1267/tillsynsmail/A 2942-2024 tillsynsbegäran mail.docx", "A 2942-2024")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46218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Entita
Grönsångare</t>
        </is>
      </c>
      <c r="V23">
        <f>HYPERLINK("https://klasma.github.io/Logging_1267/artfynd/A 24597-2026 artfynd.xlsx", "A 24597-2026")</f>
        <v/>
      </c>
      <c r="W23">
        <f>HYPERLINK("https://klasma.github.io/Logging_1267/kartor/A 24597-2026 karta.png", "A 24597-2026")</f>
        <v/>
      </c>
      <c r="Y23">
        <f>HYPERLINK("https://klasma.github.io/Logging_1267/klagomål/A 24597-2026 FSC-klagomål.docx", "A 24597-2026")</f>
        <v/>
      </c>
      <c r="Z23">
        <f>HYPERLINK("https://klasma.github.io/Logging_1267/klagomålsmail/A 24597-2026 FSC-klagomål mail.docx", "A 24597-2026")</f>
        <v/>
      </c>
      <c r="AA23">
        <f>HYPERLINK("https://klasma.github.io/Logging_1267/tillsyn/A 24597-2026 tillsynsbegäran.docx", "A 24597-2026")</f>
        <v/>
      </c>
      <c r="AB23">
        <f>HYPERLINK("https://klasma.github.io/Logging_1267/tillsynsmail/A 24597-2026 tillsynsbegäran mail.docx", "A 24597-2026")</f>
        <v/>
      </c>
      <c r="AC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46218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Grönsångare
Spillkråka</t>
        </is>
      </c>
      <c r="V24">
        <f>HYPERLINK("https://klasma.github.io/Logging_1267/artfynd/A 8329-2026 artfynd.xlsx", "A 8329-2026")</f>
        <v/>
      </c>
      <c r="W24">
        <f>HYPERLINK("https://klasma.github.io/Logging_1267/kartor/A 8329-2026 karta.png", "A 8329-2026")</f>
        <v/>
      </c>
      <c r="Y24">
        <f>HYPERLINK("https://klasma.github.io/Logging_1267/klagomål/A 8329-2026 FSC-klagomål.docx", "A 8329-2026")</f>
        <v/>
      </c>
      <c r="Z24">
        <f>HYPERLINK("https://klasma.github.io/Logging_1267/klagomålsmail/A 8329-2026 FSC-klagomål mail.docx", "A 8329-2026")</f>
        <v/>
      </c>
      <c r="AA24">
        <f>HYPERLINK("https://klasma.github.io/Logging_1267/tillsyn/A 8329-2026 tillsynsbegäran.docx", "A 8329-2026")</f>
        <v/>
      </c>
      <c r="AB24">
        <f>HYPERLINK("https://klasma.github.io/Logging_1267/tillsynsmail/A 8329-2026 tillsynsbegäran mail.docx", "A 8329-2026")</f>
        <v/>
      </c>
      <c r="AC24">
        <f>HYPERLINK("https://klasma.github.io/Logging_1267/fåglar/A 8329-2026 prioriterade fågelarter.docx", "A 8329-2026")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46218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Y25">
        <f>HYPERLINK("https://klasma.github.io/Logging_1267/klagomål/S 8923-2021 FSC-klagomål.docx", "S 8923-2021")</f>
        <v/>
      </c>
      <c r="Z25">
        <f>HYPERLINK("https://klasma.github.io/Logging_1267/klagomålsmail/S 8923-2021 FSC-klagomål mail.docx", "S 8923-2021")</f>
        <v/>
      </c>
      <c r="AA25">
        <f>HYPERLINK("https://klasma.github.io/Logging_1267/tillsyn/S 8923-2021 tillsynsbegäran.docx", "S 8923-2021")</f>
        <v/>
      </c>
      <c r="AB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46218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Y26">
        <f>HYPERLINK("https://klasma.github.io/Logging_1267/klagomål/S 6042-2022 FSC-klagomål.docx", "S 6042-2022")</f>
        <v/>
      </c>
      <c r="Z26">
        <f>HYPERLINK("https://klasma.github.io/Logging_1267/klagomålsmail/S 6042-2022 FSC-klagomål mail.docx", "S 6042-2022")</f>
        <v/>
      </c>
      <c r="AA26">
        <f>HYPERLINK("https://klasma.github.io/Logging_1267/tillsyn/S 6042-2022 tillsynsbegäran.docx", "S 6042-2022")</f>
        <v/>
      </c>
      <c r="AB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46218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Y27">
        <f>HYPERLINK("https://klasma.github.io/Logging_1267/klagomål/A 44327-2021 FSC-klagomål.docx", "A 44327-2021")</f>
        <v/>
      </c>
      <c r="Z27">
        <f>HYPERLINK("https://klasma.github.io/Logging_1267/klagomålsmail/A 44327-2021 FSC-klagomål mail.docx", "A 44327-2021")</f>
        <v/>
      </c>
      <c r="AA27">
        <f>HYPERLINK("https://klasma.github.io/Logging_1267/tillsyn/A 44327-2021 tillsynsbegäran.docx", "A 44327-2021")</f>
        <v/>
      </c>
      <c r="AB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46218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Y28">
        <f>HYPERLINK("https://klasma.github.io/Logging_1267/klagomål/A 18939-2022 FSC-klagomål.docx", "A 18939-2022")</f>
        <v/>
      </c>
      <c r="Z28">
        <f>HYPERLINK("https://klasma.github.io/Logging_1267/klagomålsmail/A 18939-2022 FSC-klagomål mail.docx", "A 18939-2022")</f>
        <v/>
      </c>
      <c r="AA28">
        <f>HYPERLINK("https://klasma.github.io/Logging_1267/tillsyn/A 18939-2022 tillsynsbegäran.docx", "A 18939-2022")</f>
        <v/>
      </c>
      <c r="AB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46218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Y29">
        <f>HYPERLINK("https://klasma.github.io/Logging_1267/klagomål/A 46919-2021 FSC-klagomål.docx", "A 46919-2021")</f>
        <v/>
      </c>
      <c r="Z29">
        <f>HYPERLINK("https://klasma.github.io/Logging_1267/klagomålsmail/A 46919-2021 FSC-klagomål mail.docx", "A 46919-2021")</f>
        <v/>
      </c>
      <c r="AA29">
        <f>HYPERLINK("https://klasma.github.io/Logging_1267/tillsyn/A 46919-2021 tillsynsbegäran.docx", "A 46919-2021")</f>
        <v/>
      </c>
      <c r="AB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46218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Igelkott</t>
        </is>
      </c>
      <c r="V30">
        <f>HYPERLINK("https://klasma.github.io/Logging_1267/artfynd/A 27233-2022 artfynd.xlsx", "A 27233-2022")</f>
        <v/>
      </c>
      <c r="W30">
        <f>HYPERLINK("https://klasma.github.io/Logging_1267/kartor/A 27233-2022 karta.png", "A 27233-2022")</f>
        <v/>
      </c>
      <c r="Y30">
        <f>HYPERLINK("https://klasma.github.io/Logging_1267/klagomål/A 27233-2022 FSC-klagomål.docx", "A 27233-2022")</f>
        <v/>
      </c>
      <c r="Z30">
        <f>HYPERLINK("https://klasma.github.io/Logging_1267/klagomålsmail/A 27233-2022 FSC-klagomål mail.docx", "A 27233-2022")</f>
        <v/>
      </c>
      <c r="AA30">
        <f>HYPERLINK("https://klasma.github.io/Logging_1267/tillsyn/A 27233-2022 tillsynsbegäran.docx", "A 27233-2022")</f>
        <v/>
      </c>
      <c r="AB30">
        <f>HYPERLINK("https://klasma.github.io/Logging_1267/tillsynsmail/A 27233-2022 tillsynsbegäran mail.docx", "A 27233-2022")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46218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Vitnoppa</t>
        </is>
      </c>
      <c r="V31">
        <f>HYPERLINK("https://klasma.github.io/Logging_1267/artfynd/A 3924-2024 artfynd.xlsx", "A 3924-2024")</f>
        <v/>
      </c>
      <c r="W31">
        <f>HYPERLINK("https://klasma.github.io/Logging_1267/kartor/A 3924-2024 karta.png", "A 3924-2024")</f>
        <v/>
      </c>
      <c r="Y31">
        <f>HYPERLINK("https://klasma.github.io/Logging_1267/klagomål/A 3924-2024 FSC-klagomål.docx", "A 3924-2024")</f>
        <v/>
      </c>
      <c r="Z31">
        <f>HYPERLINK("https://klasma.github.io/Logging_1267/klagomålsmail/A 3924-2024 FSC-klagomål mail.docx", "A 3924-2024")</f>
        <v/>
      </c>
      <c r="AA31">
        <f>HYPERLINK("https://klasma.github.io/Logging_1267/tillsyn/A 3924-2024 tillsynsbegäran.docx", "A 3924-2024")</f>
        <v/>
      </c>
      <c r="AB31">
        <f>HYPERLINK("https://klasma.github.io/Logging_1267/tillsynsmail/A 3924-2024 tillsynsbegäran mail.docx", "A 3924-2024")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46218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HYPERLINK("https://klasma.github.io/Logging_1267/artfynd/A 42053-2023 artfynd.xlsx", "A 42053-2023")</f>
        <v/>
      </c>
      <c r="W32">
        <f>HYPERLINK("https://klasma.github.io/Logging_1267/kartor/A 42053-2023 karta.png", "A 42053-2023")</f>
        <v/>
      </c>
      <c r="Y32">
        <f>HYPERLINK("https://klasma.github.io/Logging_1267/klagomål/A 42053-2023 FSC-klagomål.docx", "A 42053-2023")</f>
        <v/>
      </c>
      <c r="Z32">
        <f>HYPERLINK("https://klasma.github.io/Logging_1267/klagomålsmail/A 42053-2023 FSC-klagomål mail.docx", "A 42053-2023")</f>
        <v/>
      </c>
      <c r="AA32">
        <f>HYPERLINK("https://klasma.github.io/Logging_1267/tillsyn/A 42053-2023 tillsynsbegäran.docx", "A 42053-2023")</f>
        <v/>
      </c>
      <c r="AB32">
        <f>HYPERLINK("https://klasma.github.io/Logging_1267/tillsynsmail/A 42053-2023 tillsynsbegäran mail.docx", "A 42053-2023")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46218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Småvänderot</t>
        </is>
      </c>
      <c r="V33">
        <f>HYPERLINK("https://klasma.github.io/Logging_1267/artfynd/A 45550-2025 artfynd.xlsx", "A 45550-2025")</f>
        <v/>
      </c>
      <c r="W33">
        <f>HYPERLINK("https://klasma.github.io/Logging_1267/kartor/A 45550-2025 karta.png", "A 45550-2025")</f>
        <v/>
      </c>
      <c r="Y33">
        <f>HYPERLINK("https://klasma.github.io/Logging_1267/klagomål/A 45550-2025 FSC-klagomål.docx", "A 45550-2025")</f>
        <v/>
      </c>
      <c r="Z33">
        <f>HYPERLINK("https://klasma.github.io/Logging_1267/klagomålsmail/A 45550-2025 FSC-klagomål mail.docx", "A 45550-2025")</f>
        <v/>
      </c>
      <c r="AA33">
        <f>HYPERLINK("https://klasma.github.io/Logging_1267/tillsyn/A 45550-2025 tillsynsbegäran.docx", "A 45550-2025")</f>
        <v/>
      </c>
      <c r="AB33">
        <f>HYPERLINK("https://klasma.github.io/Logging_1267/tillsynsmail/A 45550-2025 tillsynsbegäran mail.docx", "A 45550-2025")</f>
        <v/>
      </c>
    </row>
    <row r="34" ht="15" customHeight="1">
      <c r="A34" t="inlineStr">
        <is>
          <t>A 22569-2024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46218</v>
      </c>
      <c r="F34" t="inlineStr">
        <is>
          <t>SKÅNE LÄN</t>
        </is>
      </c>
      <c r="G34" t="inlineStr">
        <is>
          <t>HÖÖR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Spillkråka</t>
        </is>
      </c>
      <c r="V34">
        <f>HYPERLINK("https://klasma.github.io/Logging_1267/artfynd/A 22569-2024 artfynd.xlsx", "A 22569-2024")</f>
        <v/>
      </c>
      <c r="W34">
        <f>HYPERLINK("https://klasma.github.io/Logging_1267/kartor/A 22569-2024 karta.png", "A 22569-2024")</f>
        <v/>
      </c>
      <c r="Y34">
        <f>HYPERLINK("https://klasma.github.io/Logging_1267/klagomål/A 22569-2024 FSC-klagomål.docx", "A 22569-2024")</f>
        <v/>
      </c>
      <c r="Z34">
        <f>HYPERLINK("https://klasma.github.io/Logging_1267/klagomålsmail/A 22569-2024 FSC-klagomål mail.docx", "A 22569-2024")</f>
        <v/>
      </c>
      <c r="AA34">
        <f>HYPERLINK("https://klasma.github.io/Logging_1267/tillsyn/A 22569-2024 tillsynsbegäran.docx", "A 22569-2024")</f>
        <v/>
      </c>
      <c r="AB34">
        <f>HYPERLINK("https://klasma.github.io/Logging_1267/tillsynsmail/A 22569-2024 tillsynsbegäran mail.docx", "A 22569-2024")</f>
        <v/>
      </c>
      <c r="AC34">
        <f>HYPERLINK("https://klasma.github.io/Logging_1267/fåglar/A 22569-2024 prioriterade fågelarter.docx", "A 22569-2024")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46218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Kungsfiskare</t>
        </is>
      </c>
      <c r="V35">
        <f>HYPERLINK("https://klasma.github.io/Logging_1267/artfynd/A 61007-2024 artfynd.xlsx", "A 61007-2024")</f>
        <v/>
      </c>
      <c r="W35">
        <f>HYPERLINK("https://klasma.github.io/Logging_1267/kartor/A 61007-2024 karta.png", "A 61007-2024")</f>
        <v/>
      </c>
      <c r="Y35">
        <f>HYPERLINK("https://klasma.github.io/Logging_1267/klagomål/A 61007-2024 FSC-klagomål.docx", "A 61007-2024")</f>
        <v/>
      </c>
      <c r="Z35">
        <f>HYPERLINK("https://klasma.github.io/Logging_1267/klagomålsmail/A 61007-2024 FSC-klagomål mail.docx", "A 61007-2024")</f>
        <v/>
      </c>
      <c r="AA35">
        <f>HYPERLINK("https://klasma.github.io/Logging_1267/tillsyn/A 61007-2024 tillsynsbegäran.docx", "A 61007-2024")</f>
        <v/>
      </c>
      <c r="AB35">
        <f>HYPERLINK("https://klasma.github.io/Logging_1267/tillsynsmail/A 61007-2024 tillsynsbegäran mail.docx", "A 61007-2024")</f>
        <v/>
      </c>
    </row>
    <row r="36" ht="15" customHeight="1">
      <c r="A36" t="inlineStr">
        <is>
          <t>A 54753-2022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46218</v>
      </c>
      <c r="F36" t="inlineStr">
        <is>
          <t>SKÅNE LÄN</t>
        </is>
      </c>
      <c r="G36" t="inlineStr">
        <is>
          <t>HÖÖR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HYPERLINK("https://klasma.github.io/Logging_1267/artfynd/A 54753-2022 artfynd.xlsx", "A 54753-2022")</f>
        <v/>
      </c>
      <c r="W36">
        <f>HYPERLINK("https://klasma.github.io/Logging_1267/kartor/A 54753-2022 karta.png", "A 54753-2022")</f>
        <v/>
      </c>
      <c r="Y36">
        <f>HYPERLINK("https://klasma.github.io/Logging_1267/klagomål/A 54753-2022 FSC-klagomål.docx", "A 54753-2022")</f>
        <v/>
      </c>
      <c r="Z36">
        <f>HYPERLINK("https://klasma.github.io/Logging_1267/klagomålsmail/A 54753-2022 FSC-klagomål mail.docx", "A 54753-2022")</f>
        <v/>
      </c>
      <c r="AA36">
        <f>HYPERLINK("https://klasma.github.io/Logging_1267/tillsyn/A 54753-2022 tillsynsbegäran.docx", "A 54753-2022")</f>
        <v/>
      </c>
      <c r="AB36">
        <f>HYPERLINK("https://klasma.github.io/Logging_1267/tillsynsmail/A 54753-2022 tillsynsbegäran mail.docx", "A 54753-2022")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46218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Skogsalm</t>
        </is>
      </c>
      <c r="V37">
        <f>HYPERLINK("https://klasma.github.io/Logging_1267/artfynd/A 27902-2023 artfynd.xlsx", "A 27902-2023")</f>
        <v/>
      </c>
      <c r="W37">
        <f>HYPERLINK("https://klasma.github.io/Logging_1267/kartor/A 27902-2023 karta.png", "A 27902-2023")</f>
        <v/>
      </c>
      <c r="Y37">
        <f>HYPERLINK("https://klasma.github.io/Logging_1267/klagomål/A 27902-2023 FSC-klagomål.docx", "A 27902-2023")</f>
        <v/>
      </c>
      <c r="Z37">
        <f>HYPERLINK("https://klasma.github.io/Logging_1267/klagomålsmail/A 27902-2023 FSC-klagomål mail.docx", "A 27902-2023")</f>
        <v/>
      </c>
      <c r="AA37">
        <f>HYPERLINK("https://klasma.github.io/Logging_1267/tillsyn/A 27902-2023 tillsynsbegäran.docx", "A 27902-2023")</f>
        <v/>
      </c>
      <c r="AB37">
        <f>HYPERLINK("https://klasma.github.io/Logging_1267/tillsynsmail/A 27902-2023 tillsynsbegäran mail.docx", "A 27902-2023")</f>
        <v/>
      </c>
    </row>
    <row r="38" ht="15" customHeight="1">
      <c r="A38" t="inlineStr">
        <is>
          <t>A 48926-2024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46218</v>
      </c>
      <c r="F38" t="inlineStr">
        <is>
          <t>SKÅNE LÄN</t>
        </is>
      </c>
      <c r="G38" t="inlineStr">
        <is>
          <t>HÖÖR</t>
        </is>
      </c>
      <c r="I38" t="n">
        <v>10.8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Småvänderot</t>
        </is>
      </c>
      <c r="V38">
        <f>HYPERLINK("https://klasma.github.io/Logging_1267/artfynd/A 48926-2024 artfynd.xlsx", "A 48926-2024")</f>
        <v/>
      </c>
      <c r="W38">
        <f>HYPERLINK("https://klasma.github.io/Logging_1267/kartor/A 48926-2024 karta.png", "A 48926-2024")</f>
        <v/>
      </c>
      <c r="Y38">
        <f>HYPERLINK("https://klasma.github.io/Logging_1267/klagomål/A 48926-2024 FSC-klagomål.docx", "A 48926-2024")</f>
        <v/>
      </c>
      <c r="Z38">
        <f>HYPERLINK("https://klasma.github.io/Logging_1267/klagomålsmail/A 48926-2024 FSC-klagomål mail.docx", "A 48926-2024")</f>
        <v/>
      </c>
      <c r="AA38">
        <f>HYPERLINK("https://klasma.github.io/Logging_1267/tillsyn/A 48926-2024 tillsynsbegäran.docx", "A 48926-2024")</f>
        <v/>
      </c>
      <c r="AB38">
        <f>HYPERLINK("https://klasma.github.io/Logging_1267/tillsynsmail/A 48926-2024 tillsynsbegäran mail.docx", "A 48926-2024")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46218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Klotullört</t>
        </is>
      </c>
      <c r="V39">
        <f>HYPERLINK("https://klasma.github.io/Logging_1267/artfynd/A 18348-2022 artfynd.xlsx", "A 18348-2022")</f>
        <v/>
      </c>
      <c r="W39">
        <f>HYPERLINK("https://klasma.github.io/Logging_1267/kartor/A 18348-2022 karta.png", "A 18348-2022")</f>
        <v/>
      </c>
      <c r="Y39">
        <f>HYPERLINK("https://klasma.github.io/Logging_1267/klagomål/A 18348-2022 FSC-klagomål.docx", "A 18348-2022")</f>
        <v/>
      </c>
      <c r="Z39">
        <f>HYPERLINK("https://klasma.github.io/Logging_1267/klagomålsmail/A 18348-2022 FSC-klagomål mail.docx", "A 18348-2022")</f>
        <v/>
      </c>
      <c r="AA39">
        <f>HYPERLINK("https://klasma.github.io/Logging_1267/tillsyn/A 18348-2022 tillsynsbegäran.docx", "A 18348-2022")</f>
        <v/>
      </c>
      <c r="AB39">
        <f>HYPERLINK("https://klasma.github.io/Logging_1267/tillsynsmail/A 18348-2022 tillsynsbegäran mail.docx", "A 18348-2022")</f>
        <v/>
      </c>
    </row>
    <row r="40" ht="15" customHeight="1">
      <c r="A40" t="inlineStr">
        <is>
          <t>A 13429-2023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46218</v>
      </c>
      <c r="F40" t="inlineStr">
        <is>
          <t>SKÅNE LÄN</t>
        </is>
      </c>
      <c r="G40" t="inlineStr">
        <is>
          <t>HÖÖR</t>
        </is>
      </c>
      <c r="I40" t="n">
        <v>0.3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Skogsbräsma</t>
        </is>
      </c>
      <c r="V40">
        <f>HYPERLINK("https://klasma.github.io/Logging_1267/artfynd/A 13429-2023 artfynd.xlsx", "A 13429-2023")</f>
        <v/>
      </c>
      <c r="W40">
        <f>HYPERLINK("https://klasma.github.io/Logging_1267/kartor/A 13429-2023 karta.png", "A 13429-2023")</f>
        <v/>
      </c>
      <c r="Y40">
        <f>HYPERLINK("https://klasma.github.io/Logging_1267/klagomål/A 13429-2023 FSC-klagomål.docx", "A 13429-2023")</f>
        <v/>
      </c>
      <c r="Z40">
        <f>HYPERLINK("https://klasma.github.io/Logging_1267/klagomålsmail/A 13429-2023 FSC-klagomål mail.docx", "A 13429-2023")</f>
        <v/>
      </c>
      <c r="AA40">
        <f>HYPERLINK("https://klasma.github.io/Logging_1267/tillsyn/A 13429-2023 tillsynsbegäran.docx", "A 13429-2023")</f>
        <v/>
      </c>
      <c r="AB40">
        <f>HYPERLINK("https://klasma.github.io/Logging_1267/tillsynsmail/A 13429-2023 tillsynsbegäran mail.docx", "A 13429-2023")</f>
        <v/>
      </c>
    </row>
    <row r="41" ht="15" customHeight="1">
      <c r="A41" t="inlineStr">
        <is>
          <t>S 8915-2021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44504</v>
      </c>
      <c r="E41" s="1" t="n">
        <v>46218</v>
      </c>
      <c r="F41" t="inlineStr">
        <is>
          <t>SKÅNE LÄN</t>
        </is>
      </c>
      <c r="G41" t="inlineStr">
        <is>
          <t>HÖÖR</t>
        </is>
      </c>
      <c r="I41" t="n">
        <v>37.2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HYPERLINK("https://klasma.github.io/Logging_1267/artfynd/S 8915-2021 artfynd.xlsx", "S 8915-2021")</f>
        <v/>
      </c>
      <c r="W41">
        <f>HYPERLINK("https://klasma.github.io/Logging_1267/kartor/S 8915-2021 karta.png", "S 8915-2021")</f>
        <v/>
      </c>
      <c r="Y41">
        <f>HYPERLINK("https://klasma.github.io/Logging_1267/klagomål/S 8915-2021 FSC-klagomål.docx", "S 8915-2021")</f>
        <v/>
      </c>
      <c r="Z41">
        <f>HYPERLINK("https://klasma.github.io/Logging_1267/klagomålsmail/S 8915-2021 FSC-klagomål mail.docx", "S 8915-2021")</f>
        <v/>
      </c>
      <c r="AA41">
        <f>HYPERLINK("https://klasma.github.io/Logging_1267/tillsyn/S 8915-2021 tillsynsbegäran.docx", "S 8915-2021")</f>
        <v/>
      </c>
      <c r="AB41">
        <f>HYPERLINK("https://klasma.github.io/Logging_1267/tillsynsmail/S 8915-2021 tillsynsbegäran mail.docx", "S 8915-2021")</f>
        <v/>
      </c>
    </row>
    <row r="42" ht="15" customHeight="1">
      <c r="A42" t="inlineStr">
        <is>
          <t>S 5973-2022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44858</v>
      </c>
      <c r="E42" s="1" t="n">
        <v>46218</v>
      </c>
      <c r="F42" t="inlineStr">
        <is>
          <t>SKÅNE LÄN</t>
        </is>
      </c>
      <c r="G42" t="inlineStr">
        <is>
          <t>HÖÖR</t>
        </is>
      </c>
      <c r="I42" t="n">
        <v>15.5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Grönvit nattviol</t>
        </is>
      </c>
      <c r="V42">
        <f>HYPERLINK("https://klasma.github.io/Logging_1267/artfynd/S 5973-2022 artfynd.xlsx", "S 5973-2022")</f>
        <v/>
      </c>
      <c r="W42">
        <f>HYPERLINK("https://klasma.github.io/Logging_1267/kartor/S 5973-2022 karta.png", "S 5973-2022")</f>
        <v/>
      </c>
      <c r="Y42">
        <f>HYPERLINK("https://klasma.github.io/Logging_1267/klagomål/S 5973-2022 FSC-klagomål.docx", "S 5973-2022")</f>
        <v/>
      </c>
      <c r="Z42">
        <f>HYPERLINK("https://klasma.github.io/Logging_1267/klagomålsmail/S 5973-2022 FSC-klagomål mail.docx", "S 5973-2022")</f>
        <v/>
      </c>
      <c r="AA42">
        <f>HYPERLINK("https://klasma.github.io/Logging_1267/tillsyn/S 5973-2022 tillsynsbegäran.docx", "S 5973-2022")</f>
        <v/>
      </c>
      <c r="AB42">
        <f>HYPERLINK("https://klasma.github.io/Logging_1267/tillsynsmail/S 5973-2022 tillsynsbegäran mail.docx", "S 5973-2022")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46218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Småvänderot</t>
        </is>
      </c>
      <c r="V43">
        <f>HYPERLINK("https://klasma.github.io/Logging_1267/artfynd/S 2339-2022 artfynd.xlsx", "S 2339-2022")</f>
        <v/>
      </c>
      <c r="W43">
        <f>HYPERLINK("https://klasma.github.io/Logging_1267/kartor/S 2339-2022 karta.png", "S 2339-2022")</f>
        <v/>
      </c>
      <c r="Y43">
        <f>HYPERLINK("https://klasma.github.io/Logging_1267/klagomål/S 2339-2022 FSC-klagomål.docx", "S 2339-2022")</f>
        <v/>
      </c>
      <c r="Z43">
        <f>HYPERLINK("https://klasma.github.io/Logging_1267/klagomålsmail/S 2339-2022 FSC-klagomål mail.docx", "S 2339-2022")</f>
        <v/>
      </c>
      <c r="AA43">
        <f>HYPERLINK("https://klasma.github.io/Logging_1267/tillsyn/S 2339-2022 tillsynsbegäran.docx", "S 2339-2022")</f>
        <v/>
      </c>
      <c r="AB43">
        <f>HYPERLINK("https://klasma.github.io/Logging_1267/tillsynsmail/S 2339-2022 tillsynsbegäran mail.docx", "S 2339-2022")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46218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Skogsbräsma</t>
        </is>
      </c>
      <c r="V44">
        <f>HYPERLINK("https://klasma.github.io/Logging_1267/artfynd/S 309-2025 artfynd.xlsx", "S 309-2025")</f>
        <v/>
      </c>
      <c r="W44">
        <f>HYPERLINK("https://klasma.github.io/Logging_1267/kartor/S 309-2025 karta.png", "S 309-2025")</f>
        <v/>
      </c>
      <c r="Y44">
        <f>HYPERLINK("https://klasma.github.io/Logging_1267/klagomål/S 309-2025 FSC-klagomål.docx", "S 309-2025")</f>
        <v/>
      </c>
      <c r="Z44">
        <f>HYPERLINK("https://klasma.github.io/Logging_1267/klagomålsmail/S 309-2025 FSC-klagomål mail.docx", "S 309-2025")</f>
        <v/>
      </c>
      <c r="AA44">
        <f>HYPERLINK("https://klasma.github.io/Logging_1267/tillsyn/S 309-2025 tillsynsbegäran.docx", "S 309-2025")</f>
        <v/>
      </c>
      <c r="AB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46218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HYPERLINK("https://klasma.github.io/Logging_1267/artfynd/S 791-2025 artfynd.xlsx", "S 791-2025")</f>
        <v/>
      </c>
      <c r="W45">
        <f>HYPERLINK("https://klasma.github.io/Logging_1267/kartor/S 791-2025 karta.png", "S 791-2025")</f>
        <v/>
      </c>
      <c r="Y45">
        <f>HYPERLINK("https://klasma.github.io/Logging_1267/klagomål/S 791-2025 FSC-klagomål.docx", "S 791-2025")</f>
        <v/>
      </c>
      <c r="Z45">
        <f>HYPERLINK("https://klasma.github.io/Logging_1267/klagomålsmail/S 791-2025 FSC-klagomål mail.docx", "S 791-2025")</f>
        <v/>
      </c>
      <c r="AA45">
        <f>HYPERLINK("https://klasma.github.io/Logging_1267/tillsyn/S 791-2025 tillsynsbegäran.docx", "S 791-2025")</f>
        <v/>
      </c>
      <c r="AB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46218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4216-2023 artfynd.xlsx", "S 4216-2023")</f>
        <v/>
      </c>
      <c r="W46">
        <f>HYPERLINK("https://klasma.github.io/Logging_1267/kartor/S 4216-2023 karta.png", "S 4216-2023")</f>
        <v/>
      </c>
      <c r="Y46">
        <f>HYPERLINK("https://klasma.github.io/Logging_1267/klagomål/S 4216-2023 FSC-klagomål.docx", "S 4216-2023")</f>
        <v/>
      </c>
      <c r="Z46">
        <f>HYPERLINK("https://klasma.github.io/Logging_1267/klagomålsmail/S 4216-2023 FSC-klagomål mail.docx", "S 4216-2023")</f>
        <v/>
      </c>
      <c r="AA46">
        <f>HYPERLINK("https://klasma.github.io/Logging_1267/tillsyn/S 4216-2023 tillsynsbegäran.docx", "S 4216-2023")</f>
        <v/>
      </c>
      <c r="AB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46218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44396</v>
      </c>
      <c r="E48" s="1" t="n">
        <v>46218</v>
      </c>
      <c r="F48" t="inlineStr">
        <is>
          <t>SKÅNE LÄN</t>
        </is>
      </c>
      <c r="G48" t="inlineStr">
        <is>
          <t>HÖÖR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46218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46218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46218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46218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46218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46218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46218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46218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46218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46218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46107-2021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44442</v>
      </c>
      <c r="E59" s="1" t="n">
        <v>46218</v>
      </c>
      <c r="F59" t="inlineStr">
        <is>
          <t>SKÅNE LÄN</t>
        </is>
      </c>
      <c r="G59" t="inlineStr">
        <is>
          <t>HÖÖR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37913-2021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44403</v>
      </c>
      <c r="E60" s="1" t="n">
        <v>46218</v>
      </c>
      <c r="F60" t="inlineStr">
        <is>
          <t>SKÅNE LÄN</t>
        </is>
      </c>
      <c r="G60" t="inlineStr">
        <is>
          <t>HÖÖR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46218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21066-2023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46218</v>
      </c>
      <c r="F62" t="inlineStr">
        <is>
          <t>SKÅNE LÄN</t>
        </is>
      </c>
      <c r="G62" t="inlineStr">
        <is>
          <t>HÖÖR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28352-2024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45477</v>
      </c>
      <c r="E63" s="1" t="n">
        <v>46218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15905-2024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45405</v>
      </c>
      <c r="E64" s="1" t="n">
        <v>46218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10007-2022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44621</v>
      </c>
      <c r="E65" s="1" t="n">
        <v>46218</v>
      </c>
      <c r="F65" t="inlineStr">
        <is>
          <t>SKÅNE LÄN</t>
        </is>
      </c>
      <c r="G65" t="inlineStr">
        <is>
          <t>HÖÖR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28332-2024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45477</v>
      </c>
      <c r="E66" s="1" t="n">
        <v>46218</v>
      </c>
      <c r="F66" t="inlineStr">
        <is>
          <t>SKÅNE LÄN</t>
        </is>
      </c>
      <c r="G66" t="inlineStr">
        <is>
          <t>HÖÖR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46218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46218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35801-2024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46218</v>
      </c>
      <c r="F69" t="inlineStr">
        <is>
          <t>SKÅNE LÄN</t>
        </is>
      </c>
      <c r="G69" t="inlineStr">
        <is>
          <t>HÖÖR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16110-2024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45406</v>
      </c>
      <c r="E70" s="1" t="n">
        <v>46218</v>
      </c>
      <c r="F70" t="inlineStr">
        <is>
          <t>SKÅNE LÄN</t>
        </is>
      </c>
      <c r="G70" t="inlineStr">
        <is>
          <t>HÖÖR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46218</v>
      </c>
      <c r="F71" t="inlineStr">
        <is>
          <t>SKÅNE LÄN</t>
        </is>
      </c>
      <c r="G71" t="inlineStr">
        <is>
          <t>HÖÖR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30087-2023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46218</v>
      </c>
      <c r="F72" t="inlineStr">
        <is>
          <t>SKÅNE LÄN</t>
        </is>
      </c>
      <c r="G72" t="inlineStr">
        <is>
          <t>HÖÖR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45159</v>
      </c>
      <c r="E73" s="1" t="n">
        <v>46218</v>
      </c>
      <c r="F73" t="inlineStr">
        <is>
          <t>SKÅNE LÄN</t>
        </is>
      </c>
      <c r="G73" t="inlineStr">
        <is>
          <t>HÖÖR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40083-2025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45894</v>
      </c>
      <c r="E74" s="1" t="n">
        <v>46218</v>
      </c>
      <c r="F74" t="inlineStr">
        <is>
          <t>SKÅNE LÄN</t>
        </is>
      </c>
      <c r="G74" t="inlineStr">
        <is>
          <t>HÖÖR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46218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19633-2023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46218</v>
      </c>
      <c r="F76" t="inlineStr">
        <is>
          <t>SKÅNE LÄN</t>
        </is>
      </c>
      <c r="G76" t="inlineStr">
        <is>
          <t>HÖÖR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16434-2025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46218</v>
      </c>
      <c r="F77" t="inlineStr">
        <is>
          <t>SKÅNE LÄN</t>
        </is>
      </c>
      <c r="G77" t="inlineStr">
        <is>
          <t>HÖÖR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31092-2023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45113</v>
      </c>
      <c r="E78" s="1" t="n">
        <v>46218</v>
      </c>
      <c r="F78" t="inlineStr">
        <is>
          <t>SKÅNE LÄN</t>
        </is>
      </c>
      <c r="G78" t="inlineStr">
        <is>
          <t>HÖÖR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53956-2023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46218</v>
      </c>
      <c r="F79" t="inlineStr">
        <is>
          <t>SKÅNE LÄN</t>
        </is>
      </c>
      <c r="G79" t="inlineStr">
        <is>
          <t>HÖÖR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46218</v>
      </c>
      <c r="F80" t="inlineStr">
        <is>
          <t>SKÅNE LÄN</t>
        </is>
      </c>
      <c r="G80" t="inlineStr">
        <is>
          <t>HÖÖR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46218</v>
      </c>
      <c r="F81" t="inlineStr">
        <is>
          <t>SKÅNE LÄN</t>
        </is>
      </c>
      <c r="G81" t="inlineStr">
        <is>
          <t>HÖÖR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46218</v>
      </c>
      <c r="F82" t="inlineStr">
        <is>
          <t>SKÅNE LÄN</t>
        </is>
      </c>
      <c r="G82" t="inlineStr">
        <is>
          <t>HÖÖR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61011-2023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45261</v>
      </c>
      <c r="E83" s="1" t="n">
        <v>46218</v>
      </c>
      <c r="F83" t="inlineStr">
        <is>
          <t>SKÅNE LÄN</t>
        </is>
      </c>
      <c r="G83" t="inlineStr">
        <is>
          <t>HÖÖR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30730-2025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46218</v>
      </c>
      <c r="F84" t="inlineStr">
        <is>
          <t>SKÅNE LÄN</t>
        </is>
      </c>
      <c r="G84" t="inlineStr">
        <is>
          <t>HÖÖR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26764-2023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46218</v>
      </c>
      <c r="F85" t="inlineStr">
        <is>
          <t>SKÅNE LÄN</t>
        </is>
      </c>
      <c r="G85" t="inlineStr">
        <is>
          <t>HÖÖR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53848-2023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45231</v>
      </c>
      <c r="E86" s="1" t="n">
        <v>46218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28385-2024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46218</v>
      </c>
      <c r="F87" t="inlineStr">
        <is>
          <t>SKÅNE LÄN</t>
        </is>
      </c>
      <c r="G87" t="inlineStr">
        <is>
          <t>HÖÖR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46218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47136-2022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46218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46218</v>
      </c>
      <c r="F90" t="inlineStr">
        <is>
          <t>SKÅNE LÄN</t>
        </is>
      </c>
      <c r="G90" t="inlineStr">
        <is>
          <t>HÖÖR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2950-2024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46218</v>
      </c>
      <c r="F91" t="inlineStr">
        <is>
          <t>SKÅNE LÄN</t>
        </is>
      </c>
      <c r="G91" t="inlineStr">
        <is>
          <t>HÖÖR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46777-2024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46218</v>
      </c>
      <c r="F92" t="inlineStr">
        <is>
          <t>SKÅNE LÄN</t>
        </is>
      </c>
      <c r="G92" t="inlineStr">
        <is>
          <t>HÖÖR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20512-2023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46218</v>
      </c>
      <c r="F93" t="inlineStr">
        <is>
          <t>SKÅNE LÄN</t>
        </is>
      </c>
      <c r="G93" t="inlineStr">
        <is>
          <t>HÖÖR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18246-2023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45041</v>
      </c>
      <c r="E94" s="1" t="n">
        <v>46218</v>
      </c>
      <c r="F94" t="inlineStr">
        <is>
          <t>SKÅNE LÄN</t>
        </is>
      </c>
      <c r="G94" t="inlineStr">
        <is>
          <t>HÖÖR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43996-2022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46218</v>
      </c>
      <c r="F95" t="inlineStr">
        <is>
          <t>SKÅNE LÄN</t>
        </is>
      </c>
      <c r="G95" t="inlineStr">
        <is>
          <t>HÖÖR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45327</v>
      </c>
      <c r="E96" s="1" t="n">
        <v>46218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56231-2022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44890</v>
      </c>
      <c r="E97" s="1" t="n">
        <v>46218</v>
      </c>
      <c r="F97" t="inlineStr">
        <is>
          <t>SKÅNE LÄN</t>
        </is>
      </c>
      <c r="G97" t="inlineStr">
        <is>
          <t>HÖÖR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47222-2022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46218</v>
      </c>
      <c r="F98" t="inlineStr">
        <is>
          <t>SKÅNE LÄN</t>
        </is>
      </c>
      <c r="G98" t="inlineStr">
        <is>
          <t>HÖÖR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12855-2023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45001</v>
      </c>
      <c r="E99" s="1" t="n">
        <v>46218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46218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45372</v>
      </c>
      <c r="E101" s="1" t="n">
        <v>46218</v>
      </c>
      <c r="F101" t="inlineStr">
        <is>
          <t>SKÅNE LÄN</t>
        </is>
      </c>
      <c r="G101" t="inlineStr">
        <is>
          <t>HÖÖR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46218</v>
      </c>
      <c r="F102" t="inlineStr">
        <is>
          <t>SKÅNE LÄN</t>
        </is>
      </c>
      <c r="G102" t="inlineStr">
        <is>
          <t>HÖÖR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7782-2022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46218</v>
      </c>
      <c r="F103" t="inlineStr">
        <is>
          <t>SKÅNE LÄN</t>
        </is>
      </c>
      <c r="G103" t="inlineStr">
        <is>
          <t>HÖÖR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54711-2024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46218</v>
      </c>
      <c r="F104" t="inlineStr">
        <is>
          <t>SKÅNE LÄN</t>
        </is>
      </c>
      <c r="G104" t="inlineStr">
        <is>
          <t>HÖÖR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44739-2024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46218</v>
      </c>
      <c r="F105" t="inlineStr">
        <is>
          <t>SKÅNE LÄN</t>
        </is>
      </c>
      <c r="G105" t="inlineStr">
        <is>
          <t>HÖÖR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46218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46218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12025-2025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46218</v>
      </c>
      <c r="F108" t="inlineStr">
        <is>
          <t>SKÅNE LÄN</t>
        </is>
      </c>
      <c r="G108" t="inlineStr">
        <is>
          <t>HÖÖR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46218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54798-2023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46218</v>
      </c>
      <c r="F110" t="inlineStr">
        <is>
          <t>SKÅNE LÄN</t>
        </is>
      </c>
      <c r="G110" t="inlineStr">
        <is>
          <t>HÖÖR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57428-2023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45240</v>
      </c>
      <c r="E111" s="1" t="n">
        <v>46218</v>
      </c>
      <c r="F111" t="inlineStr">
        <is>
          <t>SKÅNE LÄN</t>
        </is>
      </c>
      <c r="G111" t="inlineStr">
        <is>
          <t>HÖÖR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44420</v>
      </c>
      <c r="E112" s="1" t="n">
        <v>46218</v>
      </c>
      <c r="F112" t="inlineStr">
        <is>
          <t>SKÅNE LÄN</t>
        </is>
      </c>
      <c r="G112" t="inlineStr">
        <is>
          <t>HÖÖR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43469-2024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46218</v>
      </c>
      <c r="F113" t="inlineStr">
        <is>
          <t>SKÅNE LÄN</t>
        </is>
      </c>
      <c r="G113" t="inlineStr">
        <is>
          <t>HÖÖR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46218</v>
      </c>
      <c r="F114" t="inlineStr">
        <is>
          <t>SKÅNE LÄN</t>
        </is>
      </c>
      <c r="G114" t="inlineStr">
        <is>
          <t>HÖÖR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73544-2021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44551</v>
      </c>
      <c r="E115" s="1" t="n">
        <v>46218</v>
      </c>
      <c r="F115" t="inlineStr">
        <is>
          <t>SKÅNE LÄN</t>
        </is>
      </c>
      <c r="G115" t="inlineStr">
        <is>
          <t>HÖÖR</t>
        </is>
      </c>
      <c r="H115" t="inlineStr">
        <is>
          <t>Övriga statliga verk och myndigheter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46218</v>
      </c>
      <c r="F116" t="inlineStr">
        <is>
          <t>SKÅNE LÄN</t>
        </is>
      </c>
      <c r="G116" t="inlineStr">
        <is>
          <t>HÖÖR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46218</v>
      </c>
      <c r="F117" t="inlineStr">
        <is>
          <t>SKÅNE LÄN</t>
        </is>
      </c>
      <c r="G117" t="inlineStr">
        <is>
          <t>HÖÖR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41623-2023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45175</v>
      </c>
      <c r="E118" s="1" t="n">
        <v>46218</v>
      </c>
      <c r="F118" t="inlineStr">
        <is>
          <t>SKÅNE LÄN</t>
        </is>
      </c>
      <c r="G118" t="inlineStr">
        <is>
          <t>HÖÖR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44672</v>
      </c>
      <c r="E119" s="1" t="n">
        <v>46218</v>
      </c>
      <c r="F119" t="inlineStr">
        <is>
          <t>SKÅNE LÄN</t>
        </is>
      </c>
      <c r="G119" t="inlineStr">
        <is>
          <t>HÖÖR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37074-2024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46218</v>
      </c>
      <c r="F120" t="inlineStr">
        <is>
          <t>SKÅNE LÄN</t>
        </is>
      </c>
      <c r="G120" t="inlineStr">
        <is>
          <t>HÖÖR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44960-2023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46218</v>
      </c>
      <c r="F121" t="inlineStr">
        <is>
          <t>SKÅNE LÄN</t>
        </is>
      </c>
      <c r="G121" t="inlineStr">
        <is>
          <t>HÖÖR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45323</v>
      </c>
      <c r="E122" s="1" t="n">
        <v>46218</v>
      </c>
      <c r="F122" t="inlineStr">
        <is>
          <t>SKÅNE LÄN</t>
        </is>
      </c>
      <c r="G122" t="inlineStr">
        <is>
          <t>HÖÖR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46218</v>
      </c>
      <c r="F123" t="inlineStr">
        <is>
          <t>SKÅNE LÄN</t>
        </is>
      </c>
      <c r="G123" t="inlineStr">
        <is>
          <t>HÖÖR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50250-2024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45600</v>
      </c>
      <c r="E124" s="1" t="n">
        <v>46218</v>
      </c>
      <c r="F124" t="inlineStr">
        <is>
          <t>SKÅNE LÄN</t>
        </is>
      </c>
      <c r="G124" t="inlineStr">
        <is>
          <t>HÖÖR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46218</v>
      </c>
      <c r="F125" t="inlineStr">
        <is>
          <t>SKÅNE LÄN</t>
        </is>
      </c>
      <c r="G125" t="inlineStr">
        <is>
          <t>HÖÖR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45322</v>
      </c>
      <c r="E126" s="1" t="n">
        <v>46218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12028-2025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46218</v>
      </c>
      <c r="F127" t="inlineStr">
        <is>
          <t>SKÅNE LÄN</t>
        </is>
      </c>
      <c r="G127" t="inlineStr">
        <is>
          <t>HÖÖR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23116-2025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46218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61019-2024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45645</v>
      </c>
      <c r="E129" s="1" t="n">
        <v>46218</v>
      </c>
      <c r="F129" t="inlineStr">
        <is>
          <t>SKÅNE LÄN</t>
        </is>
      </c>
      <c r="G129" t="inlineStr">
        <is>
          <t>HÖÖR</t>
        </is>
      </c>
      <c r="H129" t="inlineStr">
        <is>
          <t>Kommuner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27251-2024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46218</v>
      </c>
      <c r="F130" t="inlineStr">
        <is>
          <t>SKÅNE LÄN</t>
        </is>
      </c>
      <c r="G130" t="inlineStr">
        <is>
          <t>HÖÖR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53460-2022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46218</v>
      </c>
      <c r="F131" t="inlineStr">
        <is>
          <t>SKÅNE LÄN</t>
        </is>
      </c>
      <c r="G131" t="inlineStr">
        <is>
          <t>HÖÖR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46218</v>
      </c>
      <c r="F132" t="inlineStr">
        <is>
          <t>SKÅNE LÄN</t>
        </is>
      </c>
      <c r="G132" t="inlineStr">
        <is>
          <t>HÖÖR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48909-2024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46218</v>
      </c>
      <c r="F133" t="inlineStr">
        <is>
          <t>SKÅNE LÄN</t>
        </is>
      </c>
      <c r="G133" t="inlineStr">
        <is>
          <t>HÖÖR</t>
        </is>
      </c>
      <c r="I133" t="n">
        <v>28.4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53807-2023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46218</v>
      </c>
      <c r="F134" t="inlineStr">
        <is>
          <t>SKÅNE LÄN</t>
        </is>
      </c>
      <c r="G134" t="inlineStr">
        <is>
          <t>HÖÖR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46218</v>
      </c>
      <c r="F135" t="inlineStr">
        <is>
          <t>SKÅNE LÄN</t>
        </is>
      </c>
      <c r="G135" t="inlineStr">
        <is>
          <t>HÖÖR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44728-2024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46218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45005</v>
      </c>
      <c r="E137" s="1" t="n">
        <v>46218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14515-2023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45012</v>
      </c>
      <c r="E138" s="1" t="n">
        <v>46218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26757-2023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46218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26033-2022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44734</v>
      </c>
      <c r="E140" s="1" t="n">
        <v>46218</v>
      </c>
      <c r="F140" t="inlineStr">
        <is>
          <t>SKÅNE LÄN</t>
        </is>
      </c>
      <c r="G140" t="inlineStr">
        <is>
          <t>HÖÖR</t>
        </is>
      </c>
      <c r="H140" t="inlineStr">
        <is>
          <t>Övriga statliga verk och myndigheter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15657-2025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46218</v>
      </c>
      <c r="F141" t="inlineStr">
        <is>
          <t>SKÅNE LÄN</t>
        </is>
      </c>
      <c r="G141" t="inlineStr">
        <is>
          <t>HÖÖR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46218</v>
      </c>
      <c r="F142" t="inlineStr">
        <is>
          <t>SKÅNE LÄN</t>
        </is>
      </c>
      <c r="G142" t="inlineStr">
        <is>
          <t>HÖÖR</t>
        </is>
      </c>
      <c r="I142" t="n">
        <v>12.3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51131-2021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46218</v>
      </c>
      <c r="F143" t="inlineStr">
        <is>
          <t>SKÅNE LÄN</t>
        </is>
      </c>
      <c r="G143" t="inlineStr">
        <is>
          <t>HÖÖR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60425-2022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44911</v>
      </c>
      <c r="E144" s="1" t="n">
        <v>46218</v>
      </c>
      <c r="F144" t="inlineStr">
        <is>
          <t>SKÅNE LÄN</t>
        </is>
      </c>
      <c r="G144" t="inlineStr">
        <is>
          <t>HÖÖR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61087-2022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44915</v>
      </c>
      <c r="E145" s="1" t="n">
        <v>46218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44838</v>
      </c>
      <c r="E146" s="1" t="n">
        <v>46218</v>
      </c>
      <c r="F146" t="inlineStr">
        <is>
          <t>SKÅNE LÄN</t>
        </is>
      </c>
      <c r="G146" t="inlineStr">
        <is>
          <t>HÖÖR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43897-2022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44838</v>
      </c>
      <c r="E147" s="1" t="n">
        <v>46218</v>
      </c>
      <c r="F147" t="inlineStr">
        <is>
          <t>SKÅNE LÄN</t>
        </is>
      </c>
      <c r="G147" t="inlineStr">
        <is>
          <t>HÖÖR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7306-2023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46218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55347-2025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45971</v>
      </c>
      <c r="E149" s="1" t="n">
        <v>46218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46218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46218</v>
      </c>
      <c r="F151" t="inlineStr">
        <is>
          <t>SKÅNE LÄN</t>
        </is>
      </c>
      <c r="G151" t="inlineStr">
        <is>
          <t>HÖÖR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44741</v>
      </c>
      <c r="E152" s="1" t="n">
        <v>46218</v>
      </c>
      <c r="F152" t="inlineStr">
        <is>
          <t>SKÅNE LÄN</t>
        </is>
      </c>
      <c r="G152" t="inlineStr">
        <is>
          <t>HÖÖR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36211-2024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45534</v>
      </c>
      <c r="E153" s="1" t="n">
        <v>46218</v>
      </c>
      <c r="F153" t="inlineStr">
        <is>
          <t>SKÅNE LÄN</t>
        </is>
      </c>
      <c r="G153" t="inlineStr">
        <is>
          <t>HÖÖR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63268-2023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46218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28189-2024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46218</v>
      </c>
      <c r="F155" t="inlineStr">
        <is>
          <t>SKÅNE LÄN</t>
        </is>
      </c>
      <c r="G155" t="inlineStr">
        <is>
          <t>HÖÖR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46218</v>
      </c>
      <c r="F156" t="inlineStr">
        <is>
          <t>SKÅNE LÄN</t>
        </is>
      </c>
      <c r="G156" t="inlineStr">
        <is>
          <t>HÖÖR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43891-2022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44838</v>
      </c>
      <c r="E157" s="1" t="n">
        <v>46218</v>
      </c>
      <c r="F157" t="inlineStr">
        <is>
          <t>SKÅNE LÄN</t>
        </is>
      </c>
      <c r="G157" t="inlineStr">
        <is>
          <t>HÖÖR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46218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46218</v>
      </c>
      <c r="F159" t="inlineStr">
        <is>
          <t>SKÅNE LÄN</t>
        </is>
      </c>
      <c r="G159" t="inlineStr">
        <is>
          <t>HÖÖR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57461-2022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46218</v>
      </c>
      <c r="F160" t="inlineStr">
        <is>
          <t>SKÅNE LÄN</t>
        </is>
      </c>
      <c r="G160" t="inlineStr">
        <is>
          <t>HÖÖR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46218</v>
      </c>
      <c r="F161" t="inlineStr">
        <is>
          <t>SKÅNE LÄN</t>
        </is>
      </c>
      <c r="G161" t="inlineStr">
        <is>
          <t>HÖÖR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65200-2021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44515</v>
      </c>
      <c r="E162" s="1" t="n">
        <v>46218</v>
      </c>
      <c r="F162" t="inlineStr">
        <is>
          <t>SKÅNE LÄN</t>
        </is>
      </c>
      <c r="G162" t="inlineStr">
        <is>
          <t>HÖÖR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46218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57982-2025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46218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25934-2022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46218</v>
      </c>
      <c r="F165" t="inlineStr">
        <is>
          <t>SKÅNE LÄN</t>
        </is>
      </c>
      <c r="G165" t="inlineStr">
        <is>
          <t>HÖÖR</t>
        </is>
      </c>
      <c r="H165" t="inlineStr">
        <is>
          <t>Övriga statliga verk och myndigheter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45709</v>
      </c>
      <c r="E166" s="1" t="n">
        <v>46218</v>
      </c>
      <c r="F166" t="inlineStr">
        <is>
          <t>SKÅNE LÄN</t>
        </is>
      </c>
      <c r="G166" t="inlineStr">
        <is>
          <t>HÖÖR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62944-2025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46218</v>
      </c>
      <c r="F167" t="inlineStr">
        <is>
          <t>SKÅNE LÄN</t>
        </is>
      </c>
      <c r="G167" t="inlineStr">
        <is>
          <t>HÖÖR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46218</v>
      </c>
      <c r="F168" t="inlineStr">
        <is>
          <t>SKÅNE LÄN</t>
        </is>
      </c>
      <c r="G168" t="inlineStr">
        <is>
          <t>HÖÖR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29285-2025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46218</v>
      </c>
      <c r="F169" t="inlineStr">
        <is>
          <t>SKÅNE LÄN</t>
        </is>
      </c>
      <c r="G169" t="inlineStr">
        <is>
          <t>HÖÖR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56596-2022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46218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28830-2025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46218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25559-2026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46218</v>
      </c>
      <c r="F172" t="inlineStr">
        <is>
          <t>SKÅNE LÄN</t>
        </is>
      </c>
      <c r="G172" t="inlineStr">
        <is>
          <t>HÖÖR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16663-2022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46218</v>
      </c>
      <c r="F173" t="inlineStr">
        <is>
          <t>SKÅNE LÄN</t>
        </is>
      </c>
      <c r="G173" t="inlineStr">
        <is>
          <t>HÖÖR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46218</v>
      </c>
      <c r="F174" t="inlineStr">
        <is>
          <t>SKÅNE LÄN</t>
        </is>
      </c>
      <c r="G174" t="inlineStr">
        <is>
          <t>HÖÖR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46218</v>
      </c>
      <c r="F175" t="inlineStr">
        <is>
          <t>SKÅNE LÄN</t>
        </is>
      </c>
      <c r="G175" t="inlineStr">
        <is>
          <t>HÖÖR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26590-2025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46218</v>
      </c>
      <c r="F176" t="inlineStr">
        <is>
          <t>SKÅNE LÄN</t>
        </is>
      </c>
      <c r="G176" t="inlineStr">
        <is>
          <t>HÖÖR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26591-2025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45807</v>
      </c>
      <c r="E177" s="1" t="n">
        <v>46218</v>
      </c>
      <c r="F177" t="inlineStr">
        <is>
          <t>SKÅNE LÄN</t>
        </is>
      </c>
      <c r="G177" t="inlineStr">
        <is>
          <t>HÖÖR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45315</v>
      </c>
      <c r="E178" s="1" t="n">
        <v>46218</v>
      </c>
      <c r="F178" t="inlineStr">
        <is>
          <t>SKÅNE LÄN</t>
        </is>
      </c>
      <c r="G178" t="inlineStr">
        <is>
          <t>HÖÖR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14849-2024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46218</v>
      </c>
      <c r="F179" t="inlineStr">
        <is>
          <t>SKÅNE LÄN</t>
        </is>
      </c>
      <c r="G179" t="inlineStr">
        <is>
          <t>HÖÖR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13432-2023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46218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46218</v>
      </c>
      <c r="F181" t="inlineStr">
        <is>
          <t>SKÅNE LÄN</t>
        </is>
      </c>
      <c r="G181" t="inlineStr">
        <is>
          <t>HÖÖR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61169-2025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46218</v>
      </c>
      <c r="F182" t="inlineStr">
        <is>
          <t>SKÅNE LÄN</t>
        </is>
      </c>
      <c r="G182" t="inlineStr">
        <is>
          <t>HÖÖR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61175-2025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46218</v>
      </c>
      <c r="F183" t="inlineStr">
        <is>
          <t>SKÅNE LÄN</t>
        </is>
      </c>
      <c r="G183" t="inlineStr">
        <is>
          <t>HÖÖR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46218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53455-2022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46218</v>
      </c>
      <c r="F185" t="inlineStr">
        <is>
          <t>SKÅNE LÄN</t>
        </is>
      </c>
      <c r="G185" t="inlineStr">
        <is>
          <t>HÖÖR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59702-2022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46218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21229-2026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46218</v>
      </c>
      <c r="F187" t="inlineStr">
        <is>
          <t>SKÅNE LÄN</t>
        </is>
      </c>
      <c r="G187" t="inlineStr">
        <is>
          <t>HÖÖR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46218</v>
      </c>
      <c r="F188" t="inlineStr">
        <is>
          <t>SKÅNE LÄN</t>
        </is>
      </c>
      <c r="G188" t="inlineStr">
        <is>
          <t>HÖÖR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46218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27723-2026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46191</v>
      </c>
      <c r="E190" s="1" t="n">
        <v>46218</v>
      </c>
      <c r="F190" t="inlineStr">
        <is>
          <t>SKÅNE LÄN</t>
        </is>
      </c>
      <c r="G190" t="inlineStr">
        <is>
          <t>HÖÖR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19629-2025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45770</v>
      </c>
      <c r="E191" s="1" t="n">
        <v>46218</v>
      </c>
      <c r="F191" t="inlineStr">
        <is>
          <t>SKÅNE LÄN</t>
        </is>
      </c>
      <c r="G191" t="inlineStr">
        <is>
          <t>HÖÖR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50513-2025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46218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56941-2025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45978</v>
      </c>
      <c r="E193" s="1" t="n">
        <v>46218</v>
      </c>
      <c r="F193" t="inlineStr">
        <is>
          <t>SKÅNE LÄN</t>
        </is>
      </c>
      <c r="G193" t="inlineStr">
        <is>
          <t>HÖÖR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46023</v>
      </c>
      <c r="E194" s="1" t="n">
        <v>46218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46023</v>
      </c>
      <c r="E195" s="1" t="n">
        <v>46218</v>
      </c>
      <c r="F195" t="inlineStr">
        <is>
          <t>SKÅNE LÄN</t>
        </is>
      </c>
      <c r="G195" t="inlineStr">
        <is>
          <t>HÖÖR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51232-2025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46218</v>
      </c>
      <c r="F196" t="inlineStr">
        <is>
          <t>SKÅNE LÄN</t>
        </is>
      </c>
      <c r="G196" t="inlineStr">
        <is>
          <t>HÖÖR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44838</v>
      </c>
      <c r="E197" s="1" t="n">
        <v>46218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43884-2022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46218</v>
      </c>
      <c r="F198" t="inlineStr">
        <is>
          <t>SKÅNE LÄN</t>
        </is>
      </c>
      <c r="G198" t="inlineStr">
        <is>
          <t>HÖÖR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45349-2023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46218</v>
      </c>
      <c r="F199" t="inlineStr">
        <is>
          <t>SKÅNE LÄN</t>
        </is>
      </c>
      <c r="G199" t="inlineStr">
        <is>
          <t>HÖÖR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46218</v>
      </c>
      <c r="F200" t="inlineStr">
        <is>
          <t>SKÅNE LÄN</t>
        </is>
      </c>
      <c r="G200" t="inlineStr">
        <is>
          <t>HÖÖR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46218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30951-2023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46218</v>
      </c>
      <c r="F202" t="inlineStr">
        <is>
          <t>SKÅNE LÄN</t>
        </is>
      </c>
      <c r="G202" t="inlineStr">
        <is>
          <t>HÖÖR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22514-2026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46218</v>
      </c>
      <c r="F203" t="inlineStr">
        <is>
          <t>SKÅNE LÄN</t>
        </is>
      </c>
      <c r="G203" t="inlineStr">
        <is>
          <t>HÖÖR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46218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46218</v>
      </c>
      <c r="F205" t="inlineStr">
        <is>
          <t>SKÅNE LÄN</t>
        </is>
      </c>
      <c r="G205" t="inlineStr">
        <is>
          <t>HÖÖR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46218</v>
      </c>
      <c r="F206" t="inlineStr">
        <is>
          <t>SKÅNE LÄN</t>
        </is>
      </c>
      <c r="G206" t="inlineStr">
        <is>
          <t>HÖÖR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50330-2023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46218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50332-2023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46218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46218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46218</v>
      </c>
      <c r="F210" t="inlineStr">
        <is>
          <t>SKÅNE LÄN</t>
        </is>
      </c>
      <c r="G210" t="inlineStr">
        <is>
          <t>HÖÖR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45450</v>
      </c>
      <c r="E211" s="1" t="n">
        <v>46218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28849-2026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46218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28335-2024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46218</v>
      </c>
      <c r="F213" t="inlineStr">
        <is>
          <t>SKÅNE LÄN</t>
        </is>
      </c>
      <c r="G213" t="inlineStr">
        <is>
          <t>HÖÖR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34704-2024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45526</v>
      </c>
      <c r="E214" s="1" t="n">
        <v>46218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25795-2026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46218</v>
      </c>
      <c r="F215" t="inlineStr">
        <is>
          <t>SKÅNE LÄN</t>
        </is>
      </c>
      <c r="G215" t="inlineStr">
        <is>
          <t>HÖÖR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46218</v>
      </c>
      <c r="F216" t="inlineStr">
        <is>
          <t>SKÅNE LÄN</t>
        </is>
      </c>
      <c r="G216" t="inlineStr">
        <is>
          <t>HÖÖR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12833-2023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46218</v>
      </c>
      <c r="F217" t="inlineStr">
        <is>
          <t>SKÅNE LÄN</t>
        </is>
      </c>
      <c r="G217" t="inlineStr">
        <is>
          <t>HÖÖR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22966-2026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46160</v>
      </c>
      <c r="E218" s="1" t="n">
        <v>46218</v>
      </c>
      <c r="F218" t="inlineStr">
        <is>
          <t>SKÅNE LÄN</t>
        </is>
      </c>
      <c r="G218" t="inlineStr">
        <is>
          <t>HÖÖR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22964-2026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46218</v>
      </c>
      <c r="F219" t="inlineStr">
        <is>
          <t>SKÅNE LÄN</t>
        </is>
      </c>
      <c r="G219" t="inlineStr">
        <is>
          <t>HÖÖR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29867-2026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46218</v>
      </c>
      <c r="F220" t="inlineStr">
        <is>
          <t>SKÅNE LÄN</t>
        </is>
      </c>
      <c r="G220" t="inlineStr">
        <is>
          <t>HÖÖR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8290-2026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46064</v>
      </c>
      <c r="E221" s="1" t="n">
        <v>46218</v>
      </c>
      <c r="F221" t="inlineStr">
        <is>
          <t>SKÅNE LÄN</t>
        </is>
      </c>
      <c r="G221" t="inlineStr">
        <is>
          <t>HÖÖR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30339-2026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46218</v>
      </c>
      <c r="F222" t="inlineStr">
        <is>
          <t>SKÅNE LÄN</t>
        </is>
      </c>
      <c r="G222" t="inlineStr">
        <is>
          <t>HÖÖR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8296-2026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46064</v>
      </c>
      <c r="E223" s="1" t="n">
        <v>46218</v>
      </c>
      <c r="F223" t="inlineStr">
        <is>
          <t>SKÅNE LÄN</t>
        </is>
      </c>
      <c r="G223" t="inlineStr">
        <is>
          <t>HÖÖR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58807-2025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45987</v>
      </c>
      <c r="E224" s="1" t="n">
        <v>46218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51235-2025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46218</v>
      </c>
      <c r="F225" t="inlineStr">
        <is>
          <t>SKÅNE LÄN</t>
        </is>
      </c>
      <c r="G225" t="inlineStr">
        <is>
          <t>HÖÖR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50553-2025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46218</v>
      </c>
      <c r="F226" t="inlineStr">
        <is>
          <t>SKÅNE LÄN</t>
        </is>
      </c>
      <c r="G226" t="inlineStr">
        <is>
          <t>HÖÖR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18696-2026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46218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17693-2026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46121</v>
      </c>
      <c r="E228" s="1" t="n">
        <v>46218</v>
      </c>
      <c r="F228" t="inlineStr">
        <is>
          <t>SKÅNE LÄN</t>
        </is>
      </c>
      <c r="G228" t="inlineStr">
        <is>
          <t>HÖÖR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20329-2026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46218</v>
      </c>
      <c r="F229" t="inlineStr">
        <is>
          <t>SKÅNE LÄN</t>
        </is>
      </c>
      <c r="G229" t="inlineStr">
        <is>
          <t>HÖÖR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20329-2026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46218</v>
      </c>
      <c r="F230" t="inlineStr">
        <is>
          <t>SKÅNE LÄN</t>
        </is>
      </c>
      <c r="G230" t="inlineStr">
        <is>
          <t>HÖÖR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8305-2026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46218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46218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46218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46218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46218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46218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46218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46218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46218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46218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46218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46218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46218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46218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2026-07-15T01:25:20Z</dcterms:created>
  <dcterms:modified xmlns:dcterms="http://purl.org/dc/terms/" xmlns:xsi="http://www.w3.org/2001/XMLSchema-instance" xsi:type="dcterms:W3CDTF">2026-07-15T01:25:21Z</dcterms:modified>
</cp:coreProperties>
</file>