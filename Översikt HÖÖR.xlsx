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46298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46298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46298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46298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46298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46298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46298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46298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46298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46298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46298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46298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46298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46298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46298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46298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46298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46298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46298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46298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46298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46298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46298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46298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40493-2026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46295</v>
      </c>
      <c r="E40" s="1" t="n">
        <v>46298</v>
      </c>
      <c r="F40" t="inlineStr">
        <is>
          <t>SKÅNE LÄN</t>
        </is>
      </c>
      <c r="G40" t="inlineStr">
        <is>
          <t>HÖÖR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HYPERLINK("https://klasma.github.io/Logging_1267/artfynd/A 40493-2026 artfynd.xlsx", "A 40493-2026")</f>
        <v/>
      </c>
      <c r="X40">
        <f>HYPERLINK("https://klasma.github.io/Logging_1267/kartor/A 40493-2026 karta.png", "A 40493-2026")</f>
        <v/>
      </c>
      <c r="Y40">
        <f>HYPERLINK("https://klasma.github.io/Logging_1267/kartor_geotiff/A 40493-2026 georefererad karta.tif", "A 40493-2026")</f>
        <v/>
      </c>
      <c r="AA40">
        <f>HYPERLINK("https://klasma.github.io/Logging_1267/klagomål/A 40493-2026 FSC-klagomål.docx", "A 40493-2026")</f>
        <v/>
      </c>
      <c r="AB40">
        <f>HYPERLINK("https://klasma.github.io/Logging_1267/klagomålsmail/A 40493-2026 FSC-klagomål mail.docx", "A 40493-2026")</f>
        <v/>
      </c>
      <c r="AC40">
        <f>HYPERLINK("https://klasma.github.io/Logging_1267/tillsyn/A 40493-2026 tillsynsbegäran.docx", "A 40493-2026")</f>
        <v/>
      </c>
      <c r="AD40">
        <f>HYPERLINK("https://klasma.github.io/Logging_1267/tillsynsmail/A 40493-2026 tillsynsbegäran mail.docx", "A 40493-2026")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46298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53956-2023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45231</v>
      </c>
      <c r="E42" s="1" t="n">
        <v>46298</v>
      </c>
      <c r="F42" t="inlineStr">
        <is>
          <t>SKÅNE LÄN</t>
        </is>
      </c>
      <c r="G42" t="inlineStr">
        <is>
          <t>HÖÖR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Ängskovall</t>
        </is>
      </c>
      <c r="W42">
        <f>HYPERLINK("https://klasma.github.io/Logging_1267/artfynd/A 53956-2023 artfynd.xlsx", "A 53956-2023")</f>
        <v/>
      </c>
      <c r="X42">
        <f>HYPERLINK("https://klasma.github.io/Logging_1267/kartor/A 53956-2023 karta.png", "A 53956-2023")</f>
        <v/>
      </c>
      <c r="Y42">
        <f>HYPERLINK("https://klasma.github.io/Logging_1267/kartor_geotiff/A 53956-2023 georefererad karta.tif", "A 53956-2023")</f>
        <v/>
      </c>
      <c r="AA42">
        <f>HYPERLINK("https://klasma.github.io/Logging_1267/klagomål/A 53956-2023 FSC-klagomål.docx", "A 53956-2023")</f>
        <v/>
      </c>
      <c r="AB42">
        <f>HYPERLINK("https://klasma.github.io/Logging_1267/klagomålsmail/A 53956-2023 FSC-klagomål mail.docx", "A 53956-2023")</f>
        <v/>
      </c>
      <c r="AC42">
        <f>HYPERLINK("https://klasma.github.io/Logging_1267/tillsyn/A 53956-2023 tillsynsbegäran.docx", "A 53956-2023")</f>
        <v/>
      </c>
      <c r="AD42">
        <f>HYPERLINK("https://klasma.github.io/Logging_1267/tillsynsmail/A 53956-2023 tillsynsbegäran mail.docx", "A 53956-2023")</f>
        <v/>
      </c>
    </row>
    <row r="43" ht="15" customHeight="1">
      <c r="A43" t="inlineStr">
        <is>
          <t>A 22569-2024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45447</v>
      </c>
      <c r="E43" s="1" t="n">
        <v>46298</v>
      </c>
      <c r="F43" t="inlineStr">
        <is>
          <t>SKÅNE LÄN</t>
        </is>
      </c>
      <c r="G43" t="inlineStr">
        <is>
          <t>HÖÖR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HYPERLINK("https://klasma.github.io/Logging_1267/artfynd/A 22569-2024 artfynd.xlsx", "A 22569-2024")</f>
        <v/>
      </c>
      <c r="X43">
        <f>HYPERLINK("https://klasma.github.io/Logging_1267/kartor/A 22569-2024 karta.png", "A 22569-2024")</f>
        <v/>
      </c>
      <c r="Y43">
        <f>HYPERLINK("https://klasma.github.io/Logging_1267/kartor_geotiff/A 22569-2024 georefererad karta.tif", "A 22569-2024")</f>
        <v/>
      </c>
      <c r="AA43">
        <f>HYPERLINK("https://klasma.github.io/Logging_1267/klagomål/A 22569-2024 FSC-klagomål.docx", "A 22569-2024")</f>
        <v/>
      </c>
      <c r="AB43">
        <f>HYPERLINK("https://klasma.github.io/Logging_1267/klagomålsmail/A 22569-2024 FSC-klagomål mail.docx", "A 22569-2024")</f>
        <v/>
      </c>
      <c r="AC43">
        <f>HYPERLINK("https://klasma.github.io/Logging_1267/tillsyn/A 22569-2024 tillsynsbegäran.docx", "A 22569-2024")</f>
        <v/>
      </c>
      <c r="AD43">
        <f>HYPERLINK("https://klasma.github.io/Logging_1267/tillsynsmail/A 22569-2024 tillsynsbegäran mail.docx", "A 22569-2024")</f>
        <v/>
      </c>
      <c r="AE43">
        <f>HYPERLINK("https://klasma.github.io/Logging_1267/fåglar/A 22569-2024 prioriterade fågelarter.docx", "A 22569-2024")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46298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46298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46298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46298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46298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46298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46298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46298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46298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46298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46298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46298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46298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46298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46298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46298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46298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46298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46298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46298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46298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50250-2024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46298</v>
      </c>
      <c r="F65" t="inlineStr">
        <is>
          <t>SKÅNE LÄN</t>
        </is>
      </c>
      <c r="G65" t="inlineStr">
        <is>
          <t>HÖÖR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46298</v>
      </c>
      <c r="F66" t="inlineStr">
        <is>
          <t>SKÅNE LÄN</t>
        </is>
      </c>
      <c r="G66" t="inlineStr">
        <is>
          <t>HÖÖR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46298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46298</v>
      </c>
      <c r="F68" t="inlineStr">
        <is>
          <t>SKÅNE LÄN</t>
        </is>
      </c>
      <c r="G68" t="inlineStr">
        <is>
          <t>HÖÖR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46298</v>
      </c>
      <c r="F69" t="inlineStr">
        <is>
          <t>SKÅNE LÄN</t>
        </is>
      </c>
      <c r="G69" t="inlineStr">
        <is>
          <t>HÖÖR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46298</v>
      </c>
      <c r="F70" t="inlineStr">
        <is>
          <t>SKÅNE LÄN</t>
        </is>
      </c>
      <c r="G70" t="inlineStr">
        <is>
          <t>HÖÖR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23116-2025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46298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45770</v>
      </c>
      <c r="E72" s="1" t="n">
        <v>46298</v>
      </c>
      <c r="F72" t="inlineStr">
        <is>
          <t>SKÅNE LÄN</t>
        </is>
      </c>
      <c r="G72" t="inlineStr">
        <is>
          <t>HÖÖR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46298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46298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56941-2025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45978</v>
      </c>
      <c r="E75" s="1" t="n">
        <v>46298</v>
      </c>
      <c r="F75" t="inlineStr">
        <is>
          <t>SKÅNE LÄN</t>
        </is>
      </c>
      <c r="G75" t="inlineStr">
        <is>
          <t>HÖÖR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46298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46298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46298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46298</v>
      </c>
      <c r="F79" t="inlineStr">
        <is>
          <t>SKÅNE LÄN</t>
        </is>
      </c>
      <c r="G79" t="inlineStr">
        <is>
          <t>HÖÖR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46298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45471</v>
      </c>
      <c r="E81" s="1" t="n">
        <v>46298</v>
      </c>
      <c r="F81" t="inlineStr">
        <is>
          <t>SKÅNE LÄN</t>
        </is>
      </c>
      <c r="G81" t="inlineStr">
        <is>
          <t>HÖÖR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12855-2023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45001</v>
      </c>
      <c r="E82" s="1" t="n">
        <v>46298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46298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46298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46298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46298</v>
      </c>
      <c r="F86" t="inlineStr">
        <is>
          <t>SKÅNE LÄN</t>
        </is>
      </c>
      <c r="G86" t="inlineStr">
        <is>
          <t>HÖÖR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46298</v>
      </c>
      <c r="F87" t="inlineStr">
        <is>
          <t>SKÅNE LÄN</t>
        </is>
      </c>
      <c r="G87" t="inlineStr">
        <is>
          <t>HÖÖR</t>
        </is>
      </c>
      <c r="I87" t="n">
        <v>28.4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46298</v>
      </c>
      <c r="F88" t="inlineStr">
        <is>
          <t>SKÅNE LÄN</t>
        </is>
      </c>
      <c r="G88" t="inlineStr">
        <is>
          <t>HÖÖR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46298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46298</v>
      </c>
      <c r="F90" t="inlineStr">
        <is>
          <t>SKÅNE LÄN</t>
        </is>
      </c>
      <c r="G90" t="inlineStr">
        <is>
          <t>HÖÖR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60425-2022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44911</v>
      </c>
      <c r="E91" s="1" t="n">
        <v>46298</v>
      </c>
      <c r="F91" t="inlineStr">
        <is>
          <t>SKÅNE LÄN</t>
        </is>
      </c>
      <c r="G91" t="inlineStr">
        <is>
          <t>HÖÖR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46298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61087-2022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44915</v>
      </c>
      <c r="E93" s="1" t="n">
        <v>46298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46298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8290-2026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46064</v>
      </c>
      <c r="E95" s="1" t="n">
        <v>46298</v>
      </c>
      <c r="F95" t="inlineStr">
        <is>
          <t>SKÅNE LÄN</t>
        </is>
      </c>
      <c r="G95" t="inlineStr">
        <is>
          <t>HÖÖR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46298</v>
      </c>
      <c r="F96" t="inlineStr">
        <is>
          <t>SKÅNE LÄN</t>
        </is>
      </c>
      <c r="G96" t="inlineStr">
        <is>
          <t>HÖÖR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46298</v>
      </c>
      <c r="F97" t="inlineStr">
        <is>
          <t>SKÅNE LÄN</t>
        </is>
      </c>
      <c r="G97" t="inlineStr">
        <is>
          <t>HÖÖR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46298</v>
      </c>
      <c r="F98" t="inlineStr">
        <is>
          <t>SKÅNE LÄN</t>
        </is>
      </c>
      <c r="G98" t="inlineStr">
        <is>
          <t>HÖÖR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46298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46298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46298</v>
      </c>
      <c r="F101" t="inlineStr">
        <is>
          <t>SKÅNE LÄN</t>
        </is>
      </c>
      <c r="G101" t="inlineStr">
        <is>
          <t>HÖÖR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46298</v>
      </c>
      <c r="F102" t="inlineStr">
        <is>
          <t>SKÅNE LÄN</t>
        </is>
      </c>
      <c r="G102" t="inlineStr">
        <is>
          <t>HÖÖR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46298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46298</v>
      </c>
      <c r="F104" t="inlineStr">
        <is>
          <t>SKÅNE LÄN</t>
        </is>
      </c>
      <c r="G104" t="inlineStr">
        <is>
          <t>HÖÖR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45987</v>
      </c>
      <c r="E105" s="1" t="n">
        <v>46298</v>
      </c>
      <c r="F105" t="inlineStr">
        <is>
          <t>SKÅNE LÄN</t>
        </is>
      </c>
      <c r="G105" t="inlineStr">
        <is>
          <t>HÖÖR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46298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46298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46298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46298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46298</v>
      </c>
      <c r="F110" t="inlineStr">
        <is>
          <t>SKÅNE LÄN</t>
        </is>
      </c>
      <c r="G110" t="inlineStr">
        <is>
          <t>HÖÖR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46298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46298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46298</v>
      </c>
      <c r="F113" t="inlineStr">
        <is>
          <t>SKÅNE LÄN</t>
        </is>
      </c>
      <c r="G113" t="inlineStr">
        <is>
          <t>HÖÖR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46298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46298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46298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46298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46298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46298</v>
      </c>
      <c r="F119" t="inlineStr">
        <is>
          <t>SKÅNE LÄN</t>
        </is>
      </c>
      <c r="G119" t="inlineStr">
        <is>
          <t>HÖÖR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46298</v>
      </c>
      <c r="F120" t="inlineStr">
        <is>
          <t>SKÅNE LÄN</t>
        </is>
      </c>
      <c r="G120" t="inlineStr">
        <is>
          <t>HÖÖR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46298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45405</v>
      </c>
      <c r="E122" s="1" t="n">
        <v>46298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46121</v>
      </c>
      <c r="E123" s="1" t="n">
        <v>46298</v>
      </c>
      <c r="F123" t="inlineStr">
        <is>
          <t>SKÅNE LÄN</t>
        </is>
      </c>
      <c r="G123" t="inlineStr">
        <is>
          <t>HÖÖR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46298</v>
      </c>
      <c r="F124" t="inlineStr">
        <is>
          <t>SKÅNE LÄN</t>
        </is>
      </c>
      <c r="G124" t="inlineStr">
        <is>
          <t>HÖÖR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46298</v>
      </c>
      <c r="F125" t="inlineStr">
        <is>
          <t>SKÅNE LÄN</t>
        </is>
      </c>
      <c r="G125" t="inlineStr">
        <is>
          <t>HÖÖR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46298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46298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46298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46298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46298</v>
      </c>
      <c r="F130" t="inlineStr">
        <is>
          <t>SKÅNE LÄN</t>
        </is>
      </c>
      <c r="G130" t="inlineStr">
        <is>
          <t>HÖÖR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46298</v>
      </c>
      <c r="F131" t="inlineStr">
        <is>
          <t>SKÅNE LÄN</t>
        </is>
      </c>
      <c r="G131" t="inlineStr">
        <is>
          <t>HÖÖR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46298</v>
      </c>
      <c r="F132" t="inlineStr">
        <is>
          <t>SKÅNE LÄN</t>
        </is>
      </c>
      <c r="G132" t="inlineStr">
        <is>
          <t>HÖÖR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45318</v>
      </c>
      <c r="E133" s="1" t="n">
        <v>46298</v>
      </c>
      <c r="F133" t="inlineStr">
        <is>
          <t>SKÅNE LÄN</t>
        </is>
      </c>
      <c r="G133" t="inlineStr">
        <is>
          <t>HÖÖR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46298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46298</v>
      </c>
      <c r="F135" t="inlineStr">
        <is>
          <t>SKÅNE LÄN</t>
        </is>
      </c>
      <c r="G135" t="inlineStr">
        <is>
          <t>HÖÖR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46298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46298</v>
      </c>
      <c r="F137" t="inlineStr">
        <is>
          <t>SKÅNE LÄN</t>
        </is>
      </c>
      <c r="G137" t="inlineStr">
        <is>
          <t>HÖÖR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46298</v>
      </c>
      <c r="F138" t="inlineStr">
        <is>
          <t>SKÅNE LÄN</t>
        </is>
      </c>
      <c r="G138" t="inlineStr">
        <is>
          <t>HÖÖR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46298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46298</v>
      </c>
      <c r="F140" t="inlineStr">
        <is>
          <t>SKÅNE LÄN</t>
        </is>
      </c>
      <c r="G140" t="inlineStr">
        <is>
          <t>HÖÖR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44852</v>
      </c>
      <c r="E141" s="1" t="n">
        <v>46298</v>
      </c>
      <c r="F141" t="inlineStr">
        <is>
          <t>SKÅNE LÄN</t>
        </is>
      </c>
      <c r="G141" t="inlineStr">
        <is>
          <t>HÖÖR</t>
        </is>
      </c>
      <c r="I141" t="n">
        <v>12.3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46298</v>
      </c>
      <c r="F142" t="inlineStr">
        <is>
          <t>SKÅNE LÄN</t>
        </is>
      </c>
      <c r="G142" t="inlineStr">
        <is>
          <t>HÖÖR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46298</v>
      </c>
      <c r="F143" t="inlineStr">
        <is>
          <t>SKÅNE LÄN</t>
        </is>
      </c>
      <c r="G143" t="inlineStr">
        <is>
          <t>HÖÖR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46298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46298</v>
      </c>
      <c r="F145" t="inlineStr">
        <is>
          <t>SKÅNE LÄN</t>
        </is>
      </c>
      <c r="G145" t="inlineStr">
        <is>
          <t>HÖÖR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46298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46298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46298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46298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46298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46298</v>
      </c>
      <c r="F151" t="inlineStr">
        <is>
          <t>SKÅNE LÄN</t>
        </is>
      </c>
      <c r="G151" t="inlineStr">
        <is>
          <t>HÖÖR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46298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46298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46298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46298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46298</v>
      </c>
      <c r="F156" t="inlineStr">
        <is>
          <t>SKÅNE LÄN</t>
        </is>
      </c>
      <c r="G156" t="inlineStr">
        <is>
          <t>HÖÖR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46298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46298</v>
      </c>
      <c r="F158" t="inlineStr">
        <is>
          <t>SKÅNE LÄN</t>
        </is>
      </c>
      <c r="G158" t="inlineStr">
        <is>
          <t>HÖÖR</t>
        </is>
      </c>
      <c r="H158" t="inlineStr">
        <is>
          <t>Övriga statliga verk och myndigheter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46298</v>
      </c>
      <c r="F159" t="inlineStr">
        <is>
          <t>SKÅNE LÄN</t>
        </is>
      </c>
      <c r="G159" t="inlineStr">
        <is>
          <t>HÖÖR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46298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7306-2023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44970</v>
      </c>
      <c r="E161" s="1" t="n">
        <v>46298</v>
      </c>
      <c r="F161" t="inlineStr">
        <is>
          <t>SKÅNE LÄN</t>
        </is>
      </c>
      <c r="G161" t="inlineStr">
        <is>
          <t>HÖÖR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46298</v>
      </c>
      <c r="F162" t="inlineStr">
        <is>
          <t>SKÅNE LÄN</t>
        </is>
      </c>
      <c r="G162" t="inlineStr">
        <is>
          <t>HÖÖR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46298</v>
      </c>
      <c r="F163" t="inlineStr">
        <is>
          <t>SKÅNE LÄN</t>
        </is>
      </c>
      <c r="G163" t="inlineStr">
        <is>
          <t>HÖÖR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46298</v>
      </c>
      <c r="F164" t="inlineStr">
        <is>
          <t>SKÅNE LÄN</t>
        </is>
      </c>
      <c r="G164" t="inlineStr">
        <is>
          <t>HÖÖR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46298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46298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65200-2021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44515</v>
      </c>
      <c r="E167" s="1" t="n">
        <v>46298</v>
      </c>
      <c r="F167" t="inlineStr">
        <is>
          <t>SKÅNE LÄN</t>
        </is>
      </c>
      <c r="G167" t="inlineStr">
        <is>
          <t>HÖÖR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46298</v>
      </c>
      <c r="F168" t="inlineStr">
        <is>
          <t>SKÅNE LÄN</t>
        </is>
      </c>
      <c r="G168" t="inlineStr">
        <is>
          <t>HÖÖR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46298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46298</v>
      </c>
      <c r="F170" t="inlineStr">
        <is>
          <t>SKÅNE LÄN</t>
        </is>
      </c>
      <c r="G170" t="inlineStr">
        <is>
          <t>HÖÖR</t>
        </is>
      </c>
      <c r="H170" t="inlineStr">
        <is>
          <t>Övriga statliga verk och myndigheter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46298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46298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46298</v>
      </c>
      <c r="F173" t="inlineStr">
        <is>
          <t>SKÅNE LÄN</t>
        </is>
      </c>
      <c r="G173" t="inlineStr">
        <is>
          <t>HÖÖR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46298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46298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46298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46298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46298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46298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46298</v>
      </c>
      <c r="F180" t="inlineStr">
        <is>
          <t>SKÅNE LÄN</t>
        </is>
      </c>
      <c r="G180" t="inlineStr">
        <is>
          <t>HÖÖR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46298</v>
      </c>
      <c r="F181" t="inlineStr">
        <is>
          <t>SKÅNE LÄN</t>
        </is>
      </c>
      <c r="G181" t="inlineStr">
        <is>
          <t>HÖÖR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45398</v>
      </c>
      <c r="E182" s="1" t="n">
        <v>46298</v>
      </c>
      <c r="F182" t="inlineStr">
        <is>
          <t>SKÅNE LÄN</t>
        </is>
      </c>
      <c r="G182" t="inlineStr">
        <is>
          <t>HÖÖR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46298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46298</v>
      </c>
      <c r="F184" t="inlineStr">
        <is>
          <t>SKÅNE LÄN</t>
        </is>
      </c>
      <c r="G184" t="inlineStr">
        <is>
          <t>HÖÖR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46298</v>
      </c>
      <c r="F185" t="inlineStr">
        <is>
          <t>SKÅNE LÄN</t>
        </is>
      </c>
      <c r="G185" t="inlineStr">
        <is>
          <t>HÖÖR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46298</v>
      </c>
      <c r="F186" t="inlineStr">
        <is>
          <t>SKÅNE LÄN</t>
        </is>
      </c>
      <c r="G186" t="inlineStr">
        <is>
          <t>HÖÖR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36392-2026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46268</v>
      </c>
      <c r="E187" s="1" t="n">
        <v>46298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46298</v>
      </c>
      <c r="F188" t="inlineStr">
        <is>
          <t>SKÅNE LÄN</t>
        </is>
      </c>
      <c r="G188" t="inlineStr">
        <is>
          <t>HÖÖR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46298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46298</v>
      </c>
      <c r="F190" t="inlineStr">
        <is>
          <t>SKÅNE LÄN</t>
        </is>
      </c>
      <c r="G190" t="inlineStr">
        <is>
          <t>HÖÖR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46298</v>
      </c>
      <c r="F191" t="inlineStr">
        <is>
          <t>SKÅNE LÄN</t>
        </is>
      </c>
      <c r="G191" t="inlineStr">
        <is>
          <t>HÖÖR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45755</v>
      </c>
      <c r="E192" s="1" t="n">
        <v>46298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46298</v>
      </c>
      <c r="F193" t="inlineStr">
        <is>
          <t>SKÅNE LÄN</t>
        </is>
      </c>
      <c r="G193" t="inlineStr">
        <is>
          <t>HÖÖR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46298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46298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46298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46298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46298</v>
      </c>
      <c r="F198" t="inlineStr">
        <is>
          <t>SKÅNE LÄN</t>
        </is>
      </c>
      <c r="G198" t="inlineStr">
        <is>
          <t>HÖÖR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46298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46298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46298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46298</v>
      </c>
      <c r="F202" t="inlineStr">
        <is>
          <t>SKÅNE LÄN</t>
        </is>
      </c>
      <c r="G202" t="inlineStr">
        <is>
          <t>HÖÖR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46298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46298</v>
      </c>
      <c r="F204" t="inlineStr">
        <is>
          <t>SKÅNE LÄN</t>
        </is>
      </c>
      <c r="G204" t="inlineStr">
        <is>
          <t>HÖÖR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46298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46298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46298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46298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46298</v>
      </c>
      <c r="F209" t="inlineStr">
        <is>
          <t>SKÅNE LÄN</t>
        </is>
      </c>
      <c r="G209" t="inlineStr">
        <is>
          <t>HÖÖR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46298</v>
      </c>
      <c r="F210" t="inlineStr">
        <is>
          <t>SKÅNE LÄN</t>
        </is>
      </c>
      <c r="G210" t="inlineStr">
        <is>
          <t>HÖÖR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46298</v>
      </c>
      <c r="F211" t="inlineStr">
        <is>
          <t>SKÅNE LÄN</t>
        </is>
      </c>
      <c r="G211" t="inlineStr">
        <is>
          <t>HÖÖR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46298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46298</v>
      </c>
      <c r="F213" t="inlineStr">
        <is>
          <t>SKÅNE LÄN</t>
        </is>
      </c>
      <c r="G213" t="inlineStr">
        <is>
          <t>HÖÖR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46298</v>
      </c>
      <c r="F214" t="inlineStr">
        <is>
          <t>SKÅNE LÄN</t>
        </is>
      </c>
      <c r="G214" t="inlineStr">
        <is>
          <t>HÖÖR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46298</v>
      </c>
      <c r="F215" t="inlineStr">
        <is>
          <t>SKÅNE LÄN</t>
        </is>
      </c>
      <c r="G215" t="inlineStr">
        <is>
          <t>HÖÖR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46298</v>
      </c>
      <c r="F216" t="inlineStr">
        <is>
          <t>SKÅNE LÄN</t>
        </is>
      </c>
      <c r="G216" t="inlineStr">
        <is>
          <t>HÖÖR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46298</v>
      </c>
      <c r="F217" t="inlineStr">
        <is>
          <t>SKÅNE LÄN</t>
        </is>
      </c>
      <c r="G217" t="inlineStr">
        <is>
          <t>HÖÖR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46298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45700</v>
      </c>
      <c r="E219" s="1" t="n">
        <v>46298</v>
      </c>
      <c r="F219" t="inlineStr">
        <is>
          <t>SKÅNE LÄN</t>
        </is>
      </c>
      <c r="G219" t="inlineStr">
        <is>
          <t>HÖÖR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46298</v>
      </c>
      <c r="F220" t="inlineStr">
        <is>
          <t>SKÅNE LÄN</t>
        </is>
      </c>
      <c r="G220" t="inlineStr">
        <is>
          <t>HÖÖR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46298</v>
      </c>
      <c r="F221" t="inlineStr">
        <is>
          <t>SKÅNE LÄN</t>
        </is>
      </c>
      <c r="G221" t="inlineStr">
        <is>
          <t>HÖÖR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46298</v>
      </c>
      <c r="F222" t="inlineStr">
        <is>
          <t>SKÅNE LÄN</t>
        </is>
      </c>
      <c r="G222" t="inlineStr">
        <is>
          <t>HÖÖR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46298</v>
      </c>
      <c r="F223" t="inlineStr">
        <is>
          <t>SKÅNE LÄN</t>
        </is>
      </c>
      <c r="G223" t="inlineStr">
        <is>
          <t>HÖÖR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46298</v>
      </c>
      <c r="F224" t="inlineStr">
        <is>
          <t>SKÅNE LÄN</t>
        </is>
      </c>
      <c r="G224" t="inlineStr">
        <is>
          <t>HÖÖR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44608</v>
      </c>
      <c r="E225" s="1" t="n">
        <v>46298</v>
      </c>
      <c r="F225" t="inlineStr">
        <is>
          <t>SKÅNE LÄN</t>
        </is>
      </c>
      <c r="G225" t="inlineStr">
        <is>
          <t>HÖÖR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46298</v>
      </c>
      <c r="F226" t="inlineStr">
        <is>
          <t>SKÅNE LÄN</t>
        </is>
      </c>
      <c r="G226" t="inlineStr">
        <is>
          <t>HÖÖR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46298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46298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46298</v>
      </c>
      <c r="F229" t="inlineStr">
        <is>
          <t>SKÅNE LÄN</t>
        </is>
      </c>
      <c r="G229" t="inlineStr">
        <is>
          <t>HÖÖR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46298</v>
      </c>
      <c r="F230" t="inlineStr">
        <is>
          <t>SKÅNE LÄN</t>
        </is>
      </c>
      <c r="G230" t="inlineStr">
        <is>
          <t>HÖÖR</t>
        </is>
      </c>
      <c r="H230" t="inlineStr">
        <is>
          <t>Övriga statliga verk och myndigheter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46298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46298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46298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46298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46298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46298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46298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46298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46298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46298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46298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46298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46298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2026-10-03T01:58:38Z</dcterms:created>
  <dcterms:modified xmlns:dcterms="http://purl.org/dc/terms/" xmlns:xsi="http://www.w3.org/2001/XMLSchema-instance" xsi:type="dcterms:W3CDTF">2026-10-03T01:58:38Z</dcterms:modified>
</cp:coreProperties>
</file>