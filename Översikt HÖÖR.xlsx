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46313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46313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46313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46313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46313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46313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46313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46313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46313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46313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46313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46313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46313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46313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46313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46313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46313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46313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46313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46313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46313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46313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46313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46313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46313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46313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46313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46313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46313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46313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46313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46313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46313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46313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46313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13429-2023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45005</v>
      </c>
      <c r="E37" s="1" t="n">
        <v>46313</v>
      </c>
      <c r="F37" t="inlineStr">
        <is>
          <t>SKÅNE LÄN</t>
        </is>
      </c>
      <c r="G37" t="inlineStr">
        <is>
          <t>HÖÖR</t>
        </is>
      </c>
      <c r="I37" t="n">
        <v>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Skogsbräsma</t>
        </is>
      </c>
      <c r="W37">
        <f>HYPERLINK("https://klasma.github.io/Logging_1267/artfynd/A 13429-2023 artfynd.xlsx", "A 13429-2023")</f>
        <v/>
      </c>
      <c r="X37">
        <f>HYPERLINK("https://klasma.github.io/Logging_1267/kartor/A 13429-2023 karta.png", "A 13429-2023")</f>
        <v/>
      </c>
      <c r="Y37">
        <f>HYPERLINK("https://klasma.github.io/Logging_1267/kartor_geotiff/A 13429-2023 georefererad karta.tif", "A 13429-2023")</f>
        <v/>
      </c>
      <c r="AA37">
        <f>HYPERLINK("https://klasma.github.io/Logging_1267/klagomål/A 13429-2023 FSC-klagomål.docx", "A 13429-2023")</f>
        <v/>
      </c>
      <c r="AB37">
        <f>HYPERLINK("https://klasma.github.io/Logging_1267/klagomålsmail/A 13429-2023 FSC-klagomål mail.docx", "A 13429-2023")</f>
        <v/>
      </c>
      <c r="AC37">
        <f>HYPERLINK("https://klasma.github.io/Logging_1267/tillsyn/A 13429-2023 tillsynsbegäran.docx", "A 13429-2023")</f>
        <v/>
      </c>
      <c r="AD37">
        <f>HYPERLINK("https://klasma.github.io/Logging_1267/tillsynsmail/A 13429-2023 tillsynsbegäran mail.docx", "A 13429-2023")</f>
        <v/>
      </c>
    </row>
    <row r="38" ht="15" customHeight="1">
      <c r="A38" t="inlineStr">
        <is>
          <t>A 53956-2023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45231</v>
      </c>
      <c r="E38" s="1" t="n">
        <v>46313</v>
      </c>
      <c r="F38" t="inlineStr">
        <is>
          <t>SKÅNE LÄN</t>
        </is>
      </c>
      <c r="G38" t="inlineStr">
        <is>
          <t>HÖÖR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Ängskovall</t>
        </is>
      </c>
      <c r="W38">
        <f>HYPERLINK("https://klasma.github.io/Logging_1267/artfynd/A 53956-2023 artfynd.xlsx", "A 53956-2023")</f>
        <v/>
      </c>
      <c r="X38">
        <f>HYPERLINK("https://klasma.github.io/Logging_1267/kartor/A 53956-2023 karta.png", "A 53956-2023")</f>
        <v/>
      </c>
      <c r="Y38">
        <f>HYPERLINK("https://klasma.github.io/Logging_1267/kartor_geotiff/A 53956-2023 georefererad karta.tif", "A 53956-2023")</f>
        <v/>
      </c>
      <c r="AA38">
        <f>HYPERLINK("https://klasma.github.io/Logging_1267/klagomål/A 53956-2023 FSC-klagomål.docx", "A 53956-2023")</f>
        <v/>
      </c>
      <c r="AB38">
        <f>HYPERLINK("https://klasma.github.io/Logging_1267/klagomålsmail/A 53956-2023 FSC-klagomål mail.docx", "A 53956-2023")</f>
        <v/>
      </c>
      <c r="AC38">
        <f>HYPERLINK("https://klasma.github.io/Logging_1267/tillsyn/A 53956-2023 tillsynsbegäran.docx", "A 53956-2023")</f>
        <v/>
      </c>
      <c r="AD38">
        <f>HYPERLINK("https://klasma.github.io/Logging_1267/tillsynsmail/A 53956-2023 tillsynsbegäran mail.docx", "A 53956-2023")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46313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HYPERLINK("https://klasma.github.io/Logging_1267/artfynd/A 22569-2024 artfynd.xlsx", "A 22569-2024")</f>
        <v/>
      </c>
      <c r="X39">
        <f>HYPERLINK("https://klasma.github.io/Logging_1267/kartor/A 22569-2024 karta.png", "A 22569-2024")</f>
        <v/>
      </c>
      <c r="Y39">
        <f>HYPERLINK("https://klasma.github.io/Logging_1267/kartor_geotiff/A 22569-2024 georefererad karta.tif", "A 22569-2024")</f>
        <v/>
      </c>
      <c r="AA39">
        <f>HYPERLINK("https://klasma.github.io/Logging_1267/klagomål/A 22569-2024 FSC-klagomål.docx", "A 22569-2024")</f>
        <v/>
      </c>
      <c r="AB39">
        <f>HYPERLINK("https://klasma.github.io/Logging_1267/klagomålsmail/A 22569-2024 FSC-klagomål mail.docx", "A 22569-2024")</f>
        <v/>
      </c>
      <c r="AC39">
        <f>HYPERLINK("https://klasma.github.io/Logging_1267/tillsyn/A 22569-2024 tillsynsbegäran.docx", "A 22569-2024")</f>
        <v/>
      </c>
      <c r="AD39">
        <f>HYPERLINK("https://klasma.github.io/Logging_1267/tillsynsmail/A 22569-2024 tillsynsbegäran mail.docx", "A 22569-2024")</f>
        <v/>
      </c>
      <c r="AE39">
        <f>HYPERLINK("https://klasma.github.io/Logging_1267/fåglar/A 22569-2024 prioriterade fågelarter.docx", "A 22569-2024")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46313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46313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A 40493-2026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46295</v>
      </c>
      <c r="E42" s="1" t="n">
        <v>46313</v>
      </c>
      <c r="F42" t="inlineStr">
        <is>
          <t>SKÅNE LÄN</t>
        </is>
      </c>
      <c r="G42" t="inlineStr">
        <is>
          <t>HÖÖR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HYPERLINK("https://klasma.github.io/Logging_1267/artfynd/A 40493-2026 artfynd.xlsx", "A 40493-2026")</f>
        <v/>
      </c>
      <c r="X42">
        <f>HYPERLINK("https://klasma.github.io/Logging_1267/kartor/A 40493-2026 karta.png", "A 40493-2026")</f>
        <v/>
      </c>
      <c r="Y42">
        <f>HYPERLINK("https://klasma.github.io/Logging_1267/kartor_geotiff/A 40493-2026 georefererad karta.tif", "A 40493-2026")</f>
        <v/>
      </c>
      <c r="AA42">
        <f>HYPERLINK("https://klasma.github.io/Logging_1267/klagomål/A 40493-2026 FSC-klagomål.docx", "A 40493-2026")</f>
        <v/>
      </c>
      <c r="AB42">
        <f>HYPERLINK("https://klasma.github.io/Logging_1267/klagomålsmail/A 40493-2026 FSC-klagomål mail.docx", "A 40493-2026")</f>
        <v/>
      </c>
      <c r="AC42">
        <f>HYPERLINK("https://klasma.github.io/Logging_1267/tillsyn/A 40493-2026 tillsynsbegäran.docx", "A 40493-2026")</f>
        <v/>
      </c>
      <c r="AD42">
        <f>HYPERLINK("https://klasma.github.io/Logging_1267/tillsynsmail/A 40493-2026 tillsynsbegäran mail.docx", "A 40493-2026")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46313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46313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46313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46313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46313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46313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46313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46313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46313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46313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46313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46313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46313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10007-2022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44621</v>
      </c>
      <c r="E56" s="1" t="n">
        <v>46313</v>
      </c>
      <c r="F56" t="inlineStr">
        <is>
          <t>SKÅNE LÄN</t>
        </is>
      </c>
      <c r="G56" t="inlineStr">
        <is>
          <t>HÖÖR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46313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45406</v>
      </c>
      <c r="E58" s="1" t="n">
        <v>46313</v>
      </c>
      <c r="F58" t="inlineStr">
        <is>
          <t>SKÅNE LÄN</t>
        </is>
      </c>
      <c r="G58" t="inlineStr">
        <is>
          <t>HÖÖR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45159</v>
      </c>
      <c r="E59" s="1" t="n">
        <v>46313</v>
      </c>
      <c r="F59" t="inlineStr">
        <is>
          <t>SKÅNE LÄN</t>
        </is>
      </c>
      <c r="G59" t="inlineStr">
        <is>
          <t>HÖÖR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30087-2023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46313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46313</v>
      </c>
      <c r="F61" t="inlineStr">
        <is>
          <t>SKÅNE LÄN</t>
        </is>
      </c>
      <c r="G61" t="inlineStr">
        <is>
          <t>HÖÖR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31092-2023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45113</v>
      </c>
      <c r="E62" s="1" t="n">
        <v>46313</v>
      </c>
      <c r="F62" t="inlineStr">
        <is>
          <t>SKÅNE LÄN</t>
        </is>
      </c>
      <c r="G62" t="inlineStr">
        <is>
          <t>HÖÖR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46313</v>
      </c>
      <c r="F63" t="inlineStr">
        <is>
          <t>SKÅNE LÄN</t>
        </is>
      </c>
      <c r="G63" t="inlineStr">
        <is>
          <t>HÖÖR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46313</v>
      </c>
      <c r="F64" t="inlineStr">
        <is>
          <t>SKÅNE LÄN</t>
        </is>
      </c>
      <c r="G64" t="inlineStr">
        <is>
          <t>HÖÖR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46313</v>
      </c>
      <c r="F65" t="inlineStr">
        <is>
          <t>SKÅNE LÄN</t>
        </is>
      </c>
      <c r="G65" t="inlineStr">
        <is>
          <t>HÖÖR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12855-2023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45001</v>
      </c>
      <c r="E66" s="1" t="n">
        <v>46313</v>
      </c>
      <c r="F66" t="inlineStr">
        <is>
          <t>SKÅNE LÄN</t>
        </is>
      </c>
      <c r="G66" t="inlineStr">
        <is>
          <t>HÖÖR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45372</v>
      </c>
      <c r="E67" s="1" t="n">
        <v>46313</v>
      </c>
      <c r="F67" t="inlineStr">
        <is>
          <t>SKÅNE LÄN</t>
        </is>
      </c>
      <c r="G67" t="inlineStr">
        <is>
          <t>HÖÖR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45646</v>
      </c>
      <c r="E68" s="1" t="n">
        <v>46313</v>
      </c>
      <c r="F68" t="inlineStr">
        <is>
          <t>SKÅNE LÄN</t>
        </is>
      </c>
      <c r="G68" t="inlineStr">
        <is>
          <t>HÖÖR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46313</v>
      </c>
      <c r="F69" t="inlineStr">
        <is>
          <t>SKÅNE LÄN</t>
        </is>
      </c>
      <c r="G69" t="inlineStr">
        <is>
          <t>HÖÖR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45664</v>
      </c>
      <c r="E70" s="1" t="n">
        <v>46313</v>
      </c>
      <c r="F70" t="inlineStr">
        <is>
          <t>SKÅNE LÄN</t>
        </is>
      </c>
      <c r="G70" t="inlineStr">
        <is>
          <t>HÖÖR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45190</v>
      </c>
      <c r="E71" s="1" t="n">
        <v>46313</v>
      </c>
      <c r="F71" t="inlineStr">
        <is>
          <t>SKÅNE LÄN</t>
        </is>
      </c>
      <c r="G71" t="inlineStr">
        <is>
          <t>HÖÖR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45323</v>
      </c>
      <c r="E72" s="1" t="n">
        <v>46313</v>
      </c>
      <c r="F72" t="inlineStr">
        <is>
          <t>SKÅNE LÄN</t>
        </is>
      </c>
      <c r="G72" t="inlineStr">
        <is>
          <t>HÖÖR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45167</v>
      </c>
      <c r="E73" s="1" t="n">
        <v>46313</v>
      </c>
      <c r="F73" t="inlineStr">
        <is>
          <t>SKÅNE LÄN</t>
        </is>
      </c>
      <c r="G73" t="inlineStr">
        <is>
          <t>HÖÖR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16665-2022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44672</v>
      </c>
      <c r="E74" s="1" t="n">
        <v>46313</v>
      </c>
      <c r="F74" t="inlineStr">
        <is>
          <t>SKÅNE LÄN</t>
        </is>
      </c>
      <c r="G74" t="inlineStr">
        <is>
          <t>HÖÖR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46313</v>
      </c>
      <c r="F75" t="inlineStr">
        <is>
          <t>SKÅNE LÄN</t>
        </is>
      </c>
      <c r="G75" t="inlineStr">
        <is>
          <t>HÖÖR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44596</v>
      </c>
      <c r="E76" s="1" t="n">
        <v>46313</v>
      </c>
      <c r="F76" t="inlineStr">
        <is>
          <t>SKÅNE LÄN</t>
        </is>
      </c>
      <c r="G76" t="inlineStr">
        <is>
          <t>HÖÖR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45012</v>
      </c>
      <c r="E77" s="1" t="n">
        <v>46313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46313</v>
      </c>
      <c r="F78" t="inlineStr">
        <is>
          <t>SKÅNE LÄN</t>
        </is>
      </c>
      <c r="G78" t="inlineStr">
        <is>
          <t>HÖÖR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46313</v>
      </c>
      <c r="F79" t="inlineStr">
        <is>
          <t>SKÅNE LÄN</t>
        </is>
      </c>
      <c r="G79" t="inlineStr">
        <is>
          <t>HÖÖR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46313</v>
      </c>
      <c r="F80" t="inlineStr">
        <is>
          <t>SKÅNE LÄN</t>
        </is>
      </c>
      <c r="G80" t="inlineStr">
        <is>
          <t>HÖÖR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46313</v>
      </c>
      <c r="F81" t="inlineStr">
        <is>
          <t>SKÅNE LÄN</t>
        </is>
      </c>
      <c r="G81" t="inlineStr">
        <is>
          <t>HÖÖR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45273</v>
      </c>
      <c r="E82" s="1" t="n">
        <v>46313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45672</v>
      </c>
      <c r="E83" s="1" t="n">
        <v>46313</v>
      </c>
      <c r="F83" t="inlineStr">
        <is>
          <t>SKÅNE LÄN</t>
        </is>
      </c>
      <c r="G83" t="inlineStr">
        <is>
          <t>HÖÖR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21066-2023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45061</v>
      </c>
      <c r="E84" s="1" t="n">
        <v>46313</v>
      </c>
      <c r="F84" t="inlineStr">
        <is>
          <t>SKÅNE LÄN</t>
        </is>
      </c>
      <c r="G84" t="inlineStr">
        <is>
          <t>HÖÖR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46313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45405</v>
      </c>
      <c r="E86" s="1" t="n">
        <v>46313</v>
      </c>
      <c r="F86" t="inlineStr">
        <is>
          <t>SKÅNE LÄN</t>
        </is>
      </c>
      <c r="G86" t="inlineStr">
        <is>
          <t>HÖÖR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46313</v>
      </c>
      <c r="F87" t="inlineStr">
        <is>
          <t>SKÅNE LÄN</t>
        </is>
      </c>
      <c r="G87" t="inlineStr">
        <is>
          <t>HÖÖR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45342</v>
      </c>
      <c r="E88" s="1" t="n">
        <v>46313</v>
      </c>
      <c r="F88" t="inlineStr">
        <is>
          <t>SKÅNE LÄN</t>
        </is>
      </c>
      <c r="G88" t="inlineStr">
        <is>
          <t>HÖÖR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46313</v>
      </c>
      <c r="F89" t="inlineStr">
        <is>
          <t>SKÅNE LÄN</t>
        </is>
      </c>
      <c r="G89" t="inlineStr">
        <is>
          <t>HÖÖR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40090-2025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46313</v>
      </c>
      <c r="F90" t="inlineStr">
        <is>
          <t>SKÅNE LÄN</t>
        </is>
      </c>
      <c r="G90" t="inlineStr">
        <is>
          <t>HÖÖR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46313</v>
      </c>
      <c r="F91" t="inlineStr">
        <is>
          <t>SKÅNE LÄN</t>
        </is>
      </c>
      <c r="G91" t="inlineStr">
        <is>
          <t>HÖÖR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46313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46146</v>
      </c>
      <c r="E93" s="1" t="n">
        <v>46313</v>
      </c>
      <c r="F93" t="inlineStr">
        <is>
          <t>SKÅNE LÄN</t>
        </is>
      </c>
      <c r="G93" t="inlineStr">
        <is>
          <t>HÖÖR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46313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46313</v>
      </c>
      <c r="F95" t="inlineStr">
        <is>
          <t>SKÅNE LÄN</t>
        </is>
      </c>
      <c r="G95" t="inlineStr">
        <is>
          <t>HÖÖR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46313</v>
      </c>
      <c r="F96" t="inlineStr">
        <is>
          <t>SKÅNE LÄN</t>
        </is>
      </c>
      <c r="G96" t="inlineStr">
        <is>
          <t>HÖÖR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46313</v>
      </c>
      <c r="F97" t="inlineStr">
        <is>
          <t>SKÅNE LÄN</t>
        </is>
      </c>
      <c r="G97" t="inlineStr">
        <is>
          <t>HÖÖR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46313</v>
      </c>
      <c r="F98" t="inlineStr">
        <is>
          <t>SKÅNE LÄN</t>
        </is>
      </c>
      <c r="G98" t="inlineStr">
        <is>
          <t>HÖÖR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46313</v>
      </c>
      <c r="F99" t="inlineStr">
        <is>
          <t>SKÅNE LÄN</t>
        </is>
      </c>
      <c r="G99" t="inlineStr">
        <is>
          <t>HÖÖR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46313</v>
      </c>
      <c r="F100" t="inlineStr">
        <is>
          <t>SKÅNE LÄN</t>
        </is>
      </c>
      <c r="G100" t="inlineStr">
        <is>
          <t>HÖÖR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46313</v>
      </c>
      <c r="F101" t="inlineStr">
        <is>
          <t>SKÅNE LÄN</t>
        </is>
      </c>
      <c r="G101" t="inlineStr">
        <is>
          <t>HÖÖR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46313</v>
      </c>
      <c r="F102" t="inlineStr">
        <is>
          <t>SKÅNE LÄN</t>
        </is>
      </c>
      <c r="G102" t="inlineStr">
        <is>
          <t>HÖÖR</t>
        </is>
      </c>
      <c r="I102" t="n">
        <v>12.3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46313</v>
      </c>
      <c r="F103" t="inlineStr">
        <is>
          <t>SKÅNE LÄN</t>
        </is>
      </c>
      <c r="G103" t="inlineStr">
        <is>
          <t>HÖÖR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20381-2025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46313</v>
      </c>
      <c r="F104" t="inlineStr">
        <is>
          <t>SKÅNE LÄN</t>
        </is>
      </c>
      <c r="G104" t="inlineStr">
        <is>
          <t>HÖÖR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45618</v>
      </c>
      <c r="E105" s="1" t="n">
        <v>46313</v>
      </c>
      <c r="F105" t="inlineStr">
        <is>
          <t>SKÅNE LÄN</t>
        </is>
      </c>
      <c r="G105" t="inlineStr">
        <is>
          <t>HÖÖR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22966-2026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46160</v>
      </c>
      <c r="E106" s="1" t="n">
        <v>46313</v>
      </c>
      <c r="F106" t="inlineStr">
        <is>
          <t>SKÅNE LÄN</t>
        </is>
      </c>
      <c r="G106" t="inlineStr">
        <is>
          <t>HÖÖR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45971</v>
      </c>
      <c r="E107" s="1" t="n">
        <v>46313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46313</v>
      </c>
      <c r="F108" t="inlineStr">
        <is>
          <t>SKÅNE LÄN</t>
        </is>
      </c>
      <c r="G108" t="inlineStr">
        <is>
          <t>HÖÖR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45575</v>
      </c>
      <c r="E109" s="1" t="n">
        <v>46313</v>
      </c>
      <c r="F109" t="inlineStr">
        <is>
          <t>SKÅNE LÄN</t>
        </is>
      </c>
      <c r="G109" t="inlineStr">
        <is>
          <t>HÖÖR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46313</v>
      </c>
      <c r="F110" t="inlineStr">
        <is>
          <t>SKÅNE LÄN</t>
        </is>
      </c>
      <c r="G110" t="inlineStr">
        <is>
          <t>HÖÖR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46313</v>
      </c>
      <c r="F111" t="inlineStr">
        <is>
          <t>SKÅNE LÄN</t>
        </is>
      </c>
      <c r="G111" t="inlineStr">
        <is>
          <t>HÖÖR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46313</v>
      </c>
      <c r="F112" t="inlineStr">
        <is>
          <t>SKÅNE LÄN</t>
        </is>
      </c>
      <c r="G112" t="inlineStr">
        <is>
          <t>HÖÖR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46313</v>
      </c>
      <c r="F113" t="inlineStr">
        <is>
          <t>SKÅNE LÄN</t>
        </is>
      </c>
      <c r="G113" t="inlineStr">
        <is>
          <t>HÖÖR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46313</v>
      </c>
      <c r="F114" t="inlineStr">
        <is>
          <t>SKÅNE LÄN</t>
        </is>
      </c>
      <c r="G114" t="inlineStr">
        <is>
          <t>HÖÖR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45175</v>
      </c>
      <c r="E115" s="1" t="n">
        <v>46313</v>
      </c>
      <c r="F115" t="inlineStr">
        <is>
          <t>SKÅNE LÄN</t>
        </is>
      </c>
      <c r="G115" t="inlineStr">
        <is>
          <t>HÖÖR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46313</v>
      </c>
      <c r="F116" t="inlineStr">
        <is>
          <t>SKÅNE LÄN</t>
        </is>
      </c>
      <c r="G116" t="inlineStr">
        <is>
          <t>HÖÖR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45322</v>
      </c>
      <c r="E117" s="1" t="n">
        <v>46313</v>
      </c>
      <c r="F117" t="inlineStr">
        <is>
          <t>SKÅNE LÄN</t>
        </is>
      </c>
      <c r="G117" t="inlineStr">
        <is>
          <t>HÖÖR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46313</v>
      </c>
      <c r="F118" t="inlineStr">
        <is>
          <t>SKÅNE LÄN</t>
        </is>
      </c>
      <c r="G118" t="inlineStr">
        <is>
          <t>HÖÖR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53460-2022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46313</v>
      </c>
      <c r="F119" t="inlineStr">
        <is>
          <t>SKÅNE LÄN</t>
        </is>
      </c>
      <c r="G119" t="inlineStr">
        <is>
          <t>HÖÖR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45231</v>
      </c>
      <c r="E120" s="1" t="n">
        <v>46313</v>
      </c>
      <c r="F120" t="inlineStr">
        <is>
          <t>SKÅNE LÄN</t>
        </is>
      </c>
      <c r="G120" t="inlineStr">
        <is>
          <t>HÖÖR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46313</v>
      </c>
      <c r="F121" t="inlineStr">
        <is>
          <t>SKÅNE LÄN</t>
        </is>
      </c>
      <c r="G121" t="inlineStr">
        <is>
          <t>HÖÖR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46313</v>
      </c>
      <c r="F122" t="inlineStr">
        <is>
          <t>SKÅNE LÄN</t>
        </is>
      </c>
      <c r="G122" t="inlineStr">
        <is>
          <t>HÖÖR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45574</v>
      </c>
      <c r="E123" s="1" t="n">
        <v>46313</v>
      </c>
      <c r="F123" t="inlineStr">
        <is>
          <t>SKÅNE LÄN</t>
        </is>
      </c>
      <c r="G123" t="inlineStr">
        <is>
          <t>HÖÖR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44734</v>
      </c>
      <c r="E124" s="1" t="n">
        <v>46313</v>
      </c>
      <c r="F124" t="inlineStr">
        <is>
          <t>SKÅNE LÄN</t>
        </is>
      </c>
      <c r="G124" t="inlineStr">
        <is>
          <t>HÖÖR</t>
        </is>
      </c>
      <c r="H124" t="inlineStr">
        <is>
          <t>Övriga statliga verk och myndigheter</t>
        </is>
      </c>
      <c r="I124" t="n">
        <v>9.300000000000001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45748</v>
      </c>
      <c r="E125" s="1" t="n">
        <v>46313</v>
      </c>
      <c r="F125" t="inlineStr">
        <is>
          <t>SKÅNE LÄN</t>
        </is>
      </c>
      <c r="G125" t="inlineStr">
        <is>
          <t>HÖÖR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46313</v>
      </c>
      <c r="F126" t="inlineStr">
        <is>
          <t>SKÅNE LÄN</t>
        </is>
      </c>
      <c r="G126" t="inlineStr">
        <is>
          <t>HÖÖR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46313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45945</v>
      </c>
      <c r="E128" s="1" t="n">
        <v>46313</v>
      </c>
      <c r="F128" t="inlineStr">
        <is>
          <t>SKÅNE LÄN</t>
        </is>
      </c>
      <c r="G128" t="inlineStr">
        <is>
          <t>HÖÖR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56941-2025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45978</v>
      </c>
      <c r="E129" s="1" t="n">
        <v>46313</v>
      </c>
      <c r="F129" t="inlineStr">
        <is>
          <t>SKÅNE LÄN</t>
        </is>
      </c>
      <c r="G129" t="inlineStr">
        <is>
          <t>HÖÖR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46313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46023</v>
      </c>
      <c r="E131" s="1" t="n">
        <v>46313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7306-2023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44970</v>
      </c>
      <c r="E132" s="1" t="n">
        <v>46313</v>
      </c>
      <c r="F132" t="inlineStr">
        <is>
          <t>SKÅNE LÄN</t>
        </is>
      </c>
      <c r="G132" t="inlineStr">
        <is>
          <t>HÖÖR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46313</v>
      </c>
      <c r="F133" t="inlineStr">
        <is>
          <t>SKÅNE LÄN</t>
        </is>
      </c>
      <c r="G133" t="inlineStr">
        <is>
          <t>HÖÖR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44685</v>
      </c>
      <c r="E134" s="1" t="n">
        <v>46313</v>
      </c>
      <c r="F134" t="inlineStr">
        <is>
          <t>SKÅNE LÄN</t>
        </is>
      </c>
      <c r="G134" t="inlineStr">
        <is>
          <t>HÖÖR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36211-2024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46313</v>
      </c>
      <c r="F135" t="inlineStr">
        <is>
          <t>SKÅNE LÄN</t>
        </is>
      </c>
      <c r="G135" t="inlineStr">
        <is>
          <t>HÖÖR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44838</v>
      </c>
      <c r="E136" s="1" t="n">
        <v>46313</v>
      </c>
      <c r="F136" t="inlineStr">
        <is>
          <t>SKÅNE LÄN</t>
        </is>
      </c>
      <c r="G136" t="inlineStr">
        <is>
          <t>HÖÖR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46041</v>
      </c>
      <c r="E137" s="1" t="n">
        <v>46313</v>
      </c>
      <c r="F137" t="inlineStr">
        <is>
          <t>SKÅNE LÄN</t>
        </is>
      </c>
      <c r="G137" t="inlineStr">
        <is>
          <t>HÖÖR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46313</v>
      </c>
      <c r="F138" t="inlineStr">
        <is>
          <t>SKÅNE LÄN</t>
        </is>
      </c>
      <c r="G138" t="inlineStr">
        <is>
          <t>HÖÖR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46313</v>
      </c>
      <c r="F139" t="inlineStr">
        <is>
          <t>SKÅNE LÄN</t>
        </is>
      </c>
      <c r="G139" t="inlineStr">
        <is>
          <t>HÖÖR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65200-2021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44515</v>
      </c>
      <c r="E140" s="1" t="n">
        <v>46313</v>
      </c>
      <c r="F140" t="inlineStr">
        <is>
          <t>SKÅNE LÄN</t>
        </is>
      </c>
      <c r="G140" t="inlineStr">
        <is>
          <t>HÖÖR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45741</v>
      </c>
      <c r="E141" s="1" t="n">
        <v>46313</v>
      </c>
      <c r="F141" t="inlineStr">
        <is>
          <t>SKÅNE LÄN</t>
        </is>
      </c>
      <c r="G141" t="inlineStr">
        <is>
          <t>HÖÖR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46064</v>
      </c>
      <c r="E142" s="1" t="n">
        <v>46313</v>
      </c>
      <c r="F142" t="inlineStr">
        <is>
          <t>SKÅNE LÄN</t>
        </is>
      </c>
      <c r="G142" t="inlineStr">
        <is>
          <t>HÖÖR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44734</v>
      </c>
      <c r="E143" s="1" t="n">
        <v>46313</v>
      </c>
      <c r="F143" t="inlineStr">
        <is>
          <t>SKÅNE LÄN</t>
        </is>
      </c>
      <c r="G143" t="inlineStr">
        <is>
          <t>HÖÖR</t>
        </is>
      </c>
      <c r="H143" t="inlineStr">
        <is>
          <t>Övriga statliga verk och myndigheter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46313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46313</v>
      </c>
      <c r="F145" t="inlineStr">
        <is>
          <t>SKÅNE LÄN</t>
        </is>
      </c>
      <c r="G145" t="inlineStr">
        <is>
          <t>HÖÖR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46313</v>
      </c>
      <c r="F146" t="inlineStr">
        <is>
          <t>SKÅNE LÄN</t>
        </is>
      </c>
      <c r="G146" t="inlineStr">
        <is>
          <t>HÖÖR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46313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44672</v>
      </c>
      <c r="E148" s="1" t="n">
        <v>46313</v>
      </c>
      <c r="F148" t="inlineStr">
        <is>
          <t>SKÅNE LÄN</t>
        </is>
      </c>
      <c r="G148" t="inlineStr">
        <is>
          <t>HÖÖR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46313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46313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46313</v>
      </c>
      <c r="F151" t="inlineStr">
        <is>
          <t>SKÅNE LÄN</t>
        </is>
      </c>
      <c r="G151" t="inlineStr">
        <is>
          <t>HÖÖR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46313</v>
      </c>
      <c r="F152" t="inlineStr">
        <is>
          <t>SKÅNE LÄN</t>
        </is>
      </c>
      <c r="G152" t="inlineStr">
        <is>
          <t>HÖÖR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45398</v>
      </c>
      <c r="E153" s="1" t="n">
        <v>46313</v>
      </c>
      <c r="F153" t="inlineStr">
        <is>
          <t>SKÅNE LÄN</t>
        </is>
      </c>
      <c r="G153" t="inlineStr">
        <is>
          <t>HÖÖR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46313</v>
      </c>
      <c r="F154" t="inlineStr">
        <is>
          <t>SKÅNE LÄN</t>
        </is>
      </c>
      <c r="G154" t="inlineStr">
        <is>
          <t>HÖÖR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45273</v>
      </c>
      <c r="E155" s="1" t="n">
        <v>46313</v>
      </c>
      <c r="F155" t="inlineStr">
        <is>
          <t>SKÅNE LÄN</t>
        </is>
      </c>
      <c r="G155" t="inlineStr">
        <is>
          <t>HÖÖR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46313</v>
      </c>
      <c r="F156" t="inlineStr">
        <is>
          <t>SKÅNE LÄN</t>
        </is>
      </c>
      <c r="G156" t="inlineStr">
        <is>
          <t>HÖÖR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46313</v>
      </c>
      <c r="F157" t="inlineStr">
        <is>
          <t>SKÅNE LÄN</t>
        </is>
      </c>
      <c r="G157" t="inlineStr">
        <is>
          <t>HÖÖR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46313</v>
      </c>
      <c r="F158" t="inlineStr">
        <is>
          <t>SKÅNE LÄN</t>
        </is>
      </c>
      <c r="G158" t="inlineStr">
        <is>
          <t>HÖÖR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17693-2026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46121</v>
      </c>
      <c r="E159" s="1" t="n">
        <v>46313</v>
      </c>
      <c r="F159" t="inlineStr">
        <is>
          <t>SKÅNE LÄN</t>
        </is>
      </c>
      <c r="G159" t="inlineStr">
        <is>
          <t>HÖÖR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46313</v>
      </c>
      <c r="F160" t="inlineStr">
        <is>
          <t>SKÅNE LÄN</t>
        </is>
      </c>
      <c r="G160" t="inlineStr">
        <is>
          <t>HÖÖR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44908</v>
      </c>
      <c r="E161" s="1" t="n">
        <v>46313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46313</v>
      </c>
      <c r="F162" t="inlineStr">
        <is>
          <t>SKÅNE LÄN</t>
        </is>
      </c>
      <c r="G162" t="inlineStr">
        <is>
          <t>HÖÖR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46313</v>
      </c>
      <c r="F163" t="inlineStr">
        <is>
          <t>SKÅNE LÄN</t>
        </is>
      </c>
      <c r="G163" t="inlineStr">
        <is>
          <t>HÖÖR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46205</v>
      </c>
      <c r="E164" s="1" t="n">
        <v>46313</v>
      </c>
      <c r="F164" t="inlineStr">
        <is>
          <t>SKÅNE LÄN</t>
        </is>
      </c>
      <c r="G164" t="inlineStr">
        <is>
          <t>HÖÖR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44838</v>
      </c>
      <c r="E165" s="1" t="n">
        <v>46313</v>
      </c>
      <c r="F165" t="inlineStr">
        <is>
          <t>SKÅNE LÄN</t>
        </is>
      </c>
      <c r="G165" t="inlineStr">
        <is>
          <t>HÖÖR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44838</v>
      </c>
      <c r="E166" s="1" t="n">
        <v>46313</v>
      </c>
      <c r="F166" t="inlineStr">
        <is>
          <t>SKÅNE LÄN</t>
        </is>
      </c>
      <c r="G166" t="inlineStr">
        <is>
          <t>HÖÖR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45191</v>
      </c>
      <c r="E167" s="1" t="n">
        <v>46313</v>
      </c>
      <c r="F167" t="inlineStr">
        <is>
          <t>SKÅNE LÄN</t>
        </is>
      </c>
      <c r="G167" t="inlineStr">
        <is>
          <t>HÖÖR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45154</v>
      </c>
      <c r="E168" s="1" t="n">
        <v>46313</v>
      </c>
      <c r="F168" t="inlineStr">
        <is>
          <t>SKÅNE LÄN</t>
        </is>
      </c>
      <c r="G168" t="inlineStr">
        <is>
          <t>HÖÖR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53848-2023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46313</v>
      </c>
      <c r="F169" t="inlineStr">
        <is>
          <t>SKÅNE LÄN</t>
        </is>
      </c>
      <c r="G169" t="inlineStr">
        <is>
          <t>HÖÖR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46209</v>
      </c>
      <c r="E170" s="1" t="n">
        <v>46313</v>
      </c>
      <c r="F170" t="inlineStr">
        <is>
          <t>SKÅNE LÄN</t>
        </is>
      </c>
      <c r="G170" t="inlineStr">
        <is>
          <t>HÖÖR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46313</v>
      </c>
      <c r="F171" t="inlineStr">
        <is>
          <t>SKÅNE LÄN</t>
        </is>
      </c>
      <c r="G171" t="inlineStr">
        <is>
          <t>HÖÖR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46313</v>
      </c>
      <c r="F172" t="inlineStr">
        <is>
          <t>SKÅNE LÄN</t>
        </is>
      </c>
      <c r="G172" t="inlineStr">
        <is>
          <t>HÖÖR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46313</v>
      </c>
      <c r="F173" t="inlineStr">
        <is>
          <t>SKÅNE LÄN</t>
        </is>
      </c>
      <c r="G173" t="inlineStr">
        <is>
          <t>HÖÖR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46313</v>
      </c>
      <c r="F174" t="inlineStr">
        <is>
          <t>SKÅNE LÄN</t>
        </is>
      </c>
      <c r="G174" t="inlineStr">
        <is>
          <t>HÖÖR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46313</v>
      </c>
      <c r="F175" t="inlineStr">
        <is>
          <t>SKÅNE LÄN</t>
        </is>
      </c>
      <c r="G175" t="inlineStr">
        <is>
          <t>HÖÖR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45477</v>
      </c>
      <c r="E176" s="1" t="n">
        <v>46313</v>
      </c>
      <c r="F176" t="inlineStr">
        <is>
          <t>SKÅNE LÄN</t>
        </is>
      </c>
      <c r="G176" t="inlineStr">
        <is>
          <t>HÖÖR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45526</v>
      </c>
      <c r="E177" s="1" t="n">
        <v>46313</v>
      </c>
      <c r="F177" t="inlineStr">
        <is>
          <t>SKÅNE LÄN</t>
        </is>
      </c>
      <c r="G177" t="inlineStr">
        <is>
          <t>HÖÖR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46273</v>
      </c>
      <c r="E178" s="1" t="n">
        <v>46313</v>
      </c>
      <c r="F178" t="inlineStr">
        <is>
          <t>SKÅNE LÄN</t>
        </is>
      </c>
      <c r="G178" t="inlineStr">
        <is>
          <t>HÖÖR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46313</v>
      </c>
      <c r="F179" t="inlineStr">
        <is>
          <t>SKÅNE LÄN</t>
        </is>
      </c>
      <c r="G179" t="inlineStr">
        <is>
          <t>HÖÖR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46313</v>
      </c>
      <c r="F180" t="inlineStr">
        <is>
          <t>SKÅNE LÄN</t>
        </is>
      </c>
      <c r="G180" t="inlineStr">
        <is>
          <t>HÖÖR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46313</v>
      </c>
      <c r="F181" t="inlineStr">
        <is>
          <t>SKÅNE LÄN</t>
        </is>
      </c>
      <c r="G181" t="inlineStr">
        <is>
          <t>HÖÖR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46313</v>
      </c>
      <c r="F182" t="inlineStr">
        <is>
          <t>SKÅNE LÄN</t>
        </is>
      </c>
      <c r="G182" t="inlineStr">
        <is>
          <t>HÖÖR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46280</v>
      </c>
      <c r="E183" s="1" t="n">
        <v>46313</v>
      </c>
      <c r="F183" t="inlineStr">
        <is>
          <t>SKÅNE LÄN</t>
        </is>
      </c>
      <c r="G183" t="inlineStr">
        <is>
          <t>HÖÖR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46282</v>
      </c>
      <c r="E184" s="1" t="n">
        <v>46313</v>
      </c>
      <c r="F184" t="inlineStr">
        <is>
          <t>SKÅNE LÄN</t>
        </is>
      </c>
      <c r="G184" t="inlineStr">
        <is>
          <t>HÖÖR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46196</v>
      </c>
      <c r="E185" s="1" t="n">
        <v>46313</v>
      </c>
      <c r="F185" t="inlineStr">
        <is>
          <t>SKÅNE LÄN</t>
        </is>
      </c>
      <c r="G185" t="inlineStr">
        <is>
          <t>HÖÖR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45051</v>
      </c>
      <c r="E186" s="1" t="n">
        <v>46313</v>
      </c>
      <c r="F186" t="inlineStr">
        <is>
          <t>SKÅNE LÄN</t>
        </is>
      </c>
      <c r="G186" t="inlineStr">
        <is>
          <t>HÖÖR</t>
        </is>
      </c>
      <c r="H186" t="inlineStr">
        <is>
          <t>Sveaskog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45685</v>
      </c>
      <c r="E187" s="1" t="n">
        <v>46313</v>
      </c>
      <c r="F187" t="inlineStr">
        <is>
          <t>SKÅNE LÄN</t>
        </is>
      </c>
      <c r="G187" t="inlineStr">
        <is>
          <t>HÖÖR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46313</v>
      </c>
      <c r="F188" t="inlineStr">
        <is>
          <t>SKÅNE LÄN</t>
        </is>
      </c>
      <c r="G188" t="inlineStr">
        <is>
          <t>HÖÖR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46313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46313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20329-2026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46136</v>
      </c>
      <c r="E191" s="1" t="n">
        <v>46313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45041</v>
      </c>
      <c r="E192" s="1" t="n">
        <v>46313</v>
      </c>
      <c r="F192" t="inlineStr">
        <is>
          <t>SKÅNE LÄN</t>
        </is>
      </c>
      <c r="G192" t="inlineStr">
        <is>
          <t>HÖÖR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45327</v>
      </c>
      <c r="E193" s="1" t="n">
        <v>46313</v>
      </c>
      <c r="F193" t="inlineStr">
        <is>
          <t>SKÅNE LÄN</t>
        </is>
      </c>
      <c r="G193" t="inlineStr">
        <is>
          <t>HÖÖR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44890</v>
      </c>
      <c r="E194" s="1" t="n">
        <v>46313</v>
      </c>
      <c r="F194" t="inlineStr">
        <is>
          <t>SKÅNE LÄN</t>
        </is>
      </c>
      <c r="G194" t="inlineStr">
        <is>
          <t>HÖÖR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46313</v>
      </c>
      <c r="F195" t="inlineStr">
        <is>
          <t>SKÅNE LÄN</t>
        </is>
      </c>
      <c r="G195" t="inlineStr">
        <is>
          <t>HÖÖR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44608</v>
      </c>
      <c r="E196" s="1" t="n">
        <v>46313</v>
      </c>
      <c r="F196" t="inlineStr">
        <is>
          <t>SKÅNE LÄN</t>
        </is>
      </c>
      <c r="G196" t="inlineStr">
        <is>
          <t>HÖÖR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46313</v>
      </c>
      <c r="F197" t="inlineStr">
        <is>
          <t>SKÅNE LÄN</t>
        </is>
      </c>
      <c r="G197" t="inlineStr">
        <is>
          <t>HÖÖR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46313</v>
      </c>
      <c r="F198" t="inlineStr">
        <is>
          <t>SKÅNE LÄN</t>
        </is>
      </c>
      <c r="G198" t="inlineStr">
        <is>
          <t>HÖÖR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46313</v>
      </c>
      <c r="F199" t="inlineStr">
        <is>
          <t>SKÅNE LÄN</t>
        </is>
      </c>
      <c r="G199" t="inlineStr">
        <is>
          <t>HÖÖR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46255</v>
      </c>
      <c r="E200" s="1" t="n">
        <v>46313</v>
      </c>
      <c r="F200" t="inlineStr">
        <is>
          <t>SKÅNE LÄN</t>
        </is>
      </c>
      <c r="G200" t="inlineStr">
        <is>
          <t>HÖÖR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46313</v>
      </c>
      <c r="F201" t="inlineStr">
        <is>
          <t>SKÅNE LÄN</t>
        </is>
      </c>
      <c r="G201" t="inlineStr">
        <is>
          <t>HÖÖR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46255</v>
      </c>
      <c r="E202" s="1" t="n">
        <v>46313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46313</v>
      </c>
      <c r="F203" t="inlineStr">
        <is>
          <t>SKÅNE LÄN</t>
        </is>
      </c>
      <c r="G203" t="inlineStr">
        <is>
          <t>HÖÖR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46313</v>
      </c>
      <c r="F204" t="inlineStr">
        <is>
          <t>SKÅNE LÄN</t>
        </is>
      </c>
      <c r="G204" t="inlineStr">
        <is>
          <t>HÖÖR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73544-2021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44551</v>
      </c>
      <c r="E205" s="1" t="n">
        <v>46313</v>
      </c>
      <c r="F205" t="inlineStr">
        <is>
          <t>SKÅNE LÄN</t>
        </is>
      </c>
      <c r="G205" t="inlineStr">
        <is>
          <t>HÖÖR</t>
        </is>
      </c>
      <c r="H205" t="inlineStr">
        <is>
          <t>Övriga statliga verk och myndigheter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46313</v>
      </c>
      <c r="F206" t="inlineStr">
        <is>
          <t>SKÅNE LÄN</t>
        </is>
      </c>
      <c r="G206" t="inlineStr">
        <is>
          <t>HÖÖR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46313</v>
      </c>
      <c r="F207" t="inlineStr">
        <is>
          <t>SKÅNE LÄN</t>
        </is>
      </c>
      <c r="G207" t="inlineStr">
        <is>
          <t>HÖÖR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46313</v>
      </c>
      <c r="F208" t="inlineStr">
        <is>
          <t>SKÅNE LÄN</t>
        </is>
      </c>
      <c r="G208" t="inlineStr">
        <is>
          <t>HÖÖR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46313</v>
      </c>
      <c r="F209" t="inlineStr">
        <is>
          <t>SKÅNE LÄN</t>
        </is>
      </c>
      <c r="G209" t="inlineStr">
        <is>
          <t>HÖÖR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46313</v>
      </c>
      <c r="F210" t="inlineStr">
        <is>
          <t>SKÅNE LÄN</t>
        </is>
      </c>
      <c r="G210" t="inlineStr">
        <is>
          <t>HÖÖR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61019-2024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45645</v>
      </c>
      <c r="E211" s="1" t="n">
        <v>46313</v>
      </c>
      <c r="F211" t="inlineStr">
        <is>
          <t>SKÅNE LÄN</t>
        </is>
      </c>
      <c r="G211" t="inlineStr">
        <is>
          <t>HÖÖR</t>
        </is>
      </c>
      <c r="H211" t="inlineStr">
        <is>
          <t>Kommuner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45471</v>
      </c>
      <c r="E212" s="1" t="n">
        <v>46313</v>
      </c>
      <c r="F212" t="inlineStr">
        <is>
          <t>SKÅNE LÄN</t>
        </is>
      </c>
      <c r="G212" t="inlineStr">
        <is>
          <t>HÖÖR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46313</v>
      </c>
      <c r="F213" t="inlineStr">
        <is>
          <t>SKÅNE LÄN</t>
        </is>
      </c>
      <c r="G213" t="inlineStr">
        <is>
          <t>HÖÖR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48909-2024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46313</v>
      </c>
      <c r="F214" t="inlineStr">
        <is>
          <t>SKÅNE LÄN</t>
        </is>
      </c>
      <c r="G214" t="inlineStr">
        <is>
          <t>HÖÖR</t>
        </is>
      </c>
      <c r="I214" t="n">
        <v>28.4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52281-2024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45608</v>
      </c>
      <c r="E215" s="1" t="n">
        <v>46313</v>
      </c>
      <c r="F215" t="inlineStr">
        <is>
          <t>SKÅNE LÄN</t>
        </is>
      </c>
      <c r="G215" t="inlineStr">
        <is>
          <t>HÖÖR</t>
        </is>
      </c>
      <c r="I215" t="n">
        <v>12.3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60425-2022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44911</v>
      </c>
      <c r="E216" s="1" t="n">
        <v>46313</v>
      </c>
      <c r="F216" t="inlineStr">
        <is>
          <t>SKÅNE LÄN</t>
        </is>
      </c>
      <c r="G216" t="inlineStr">
        <is>
          <t>HÖÖR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61087-2022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44915</v>
      </c>
      <c r="E217" s="1" t="n">
        <v>46313</v>
      </c>
      <c r="F217" t="inlineStr">
        <is>
          <t>SKÅNE LÄN</t>
        </is>
      </c>
      <c r="G217" t="inlineStr">
        <is>
          <t>HÖÖR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45804</v>
      </c>
      <c r="E218" s="1" t="n">
        <v>46313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46313</v>
      </c>
      <c r="F219" t="inlineStr">
        <is>
          <t>SKÅNE LÄN</t>
        </is>
      </c>
      <c r="G219" t="inlineStr">
        <is>
          <t>HÖÖR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36392-2026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46268</v>
      </c>
      <c r="E220" s="1" t="n">
        <v>46313</v>
      </c>
      <c r="F220" t="inlineStr">
        <is>
          <t>SKÅNE LÄN</t>
        </is>
      </c>
      <c r="G220" t="inlineStr">
        <is>
          <t>HÖÖR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46251</v>
      </c>
      <c r="E221" s="1" t="n">
        <v>46313</v>
      </c>
      <c r="F221" t="inlineStr">
        <is>
          <t>SKÅNE LÄN</t>
        </is>
      </c>
      <c r="G221" t="inlineStr">
        <is>
          <t>HÖÖR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46313</v>
      </c>
      <c r="F222" t="inlineStr">
        <is>
          <t>SKÅNE LÄN</t>
        </is>
      </c>
      <c r="G222" t="inlineStr">
        <is>
          <t>HÖÖR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46313</v>
      </c>
      <c r="F223" t="inlineStr">
        <is>
          <t>SKÅNE LÄN</t>
        </is>
      </c>
      <c r="G223" t="inlineStr">
        <is>
          <t>HÖÖR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46313</v>
      </c>
      <c r="F224" t="inlineStr">
        <is>
          <t>SKÅNE LÄN</t>
        </is>
      </c>
      <c r="G224" t="inlineStr">
        <is>
          <t>HÖÖR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46313</v>
      </c>
      <c r="F225" t="inlineStr">
        <is>
          <t>SKÅNE LÄN</t>
        </is>
      </c>
      <c r="G225" t="inlineStr">
        <is>
          <t>HÖÖR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45807</v>
      </c>
      <c r="E226" s="1" t="n">
        <v>46313</v>
      </c>
      <c r="F226" t="inlineStr">
        <is>
          <t>SKÅNE LÄN</t>
        </is>
      </c>
      <c r="G226" t="inlineStr">
        <is>
          <t>HÖÖR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45807</v>
      </c>
      <c r="E227" s="1" t="n">
        <v>46313</v>
      </c>
      <c r="F227" t="inlineStr">
        <is>
          <t>SKÅNE LÄN</t>
        </is>
      </c>
      <c r="G227" t="inlineStr">
        <is>
          <t>HÖÖR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46313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46313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46313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46313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46313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46313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46313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46313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46313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46313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46313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46313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46313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2026-10-18T08:09:22Z</dcterms:created>
  <dcterms:modified xmlns:dcterms="http://purl.org/dc/terms/" xmlns:xsi="http://www.w3.org/2001/XMLSchema-instance" xsi:type="dcterms:W3CDTF">2026-10-18T08:09:23Z</dcterms:modified>
</cp:coreProperties>
</file>