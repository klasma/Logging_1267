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X2">
        <f>HYPERLINK("https://klasma.github.io/Logging_1267/kartor_geotiff/S 4218-2023 georefererad karta.tif", "S 4218-2023")</f>
        <v/>
      </c>
      <c r="Z2">
        <f>HYPERLINK("https://klasma.github.io/Logging_1267/klagomål/S 4218-2023 FSC-klagomål.docx", "S 4218-2023")</f>
        <v/>
      </c>
      <c r="AA2">
        <f>HYPERLINK("https://klasma.github.io/Logging_1267/klagomålsmail/S 4218-2023 FSC-klagomål mail.docx", "S 4218-2023")</f>
        <v/>
      </c>
      <c r="AB2">
        <f>HYPERLINK("https://klasma.github.io/Logging_1267/tillsyn/S 4218-2023 tillsynsbegäran.docx", "S 4218-2023")</f>
        <v/>
      </c>
      <c r="AC2">
        <f>HYPERLINK("https://klasma.github.io/Logging_1267/tillsynsmail/S 4218-2023 tillsynsbegäran mail.docx", "S 4218-2023")</f>
        <v/>
      </c>
      <c r="AD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X3">
        <f>HYPERLINK("https://klasma.github.io/Logging_1267/kartor_geotiff/S 8845-2021 georefererad karta.tif", "S 8845-2021")</f>
        <v/>
      </c>
      <c r="Z3">
        <f>HYPERLINK("https://klasma.github.io/Logging_1267/klagomål/S 8845-2021 FSC-klagomål.docx", "S 8845-2021")</f>
        <v/>
      </c>
      <c r="AA3">
        <f>HYPERLINK("https://klasma.github.io/Logging_1267/klagomålsmail/S 8845-2021 FSC-klagomål mail.docx", "S 8845-2021")</f>
        <v/>
      </c>
      <c r="AB3">
        <f>HYPERLINK("https://klasma.github.io/Logging_1267/tillsyn/S 8845-2021 tillsynsbegäran.docx", "S 8845-2021")</f>
        <v/>
      </c>
      <c r="AC3">
        <f>HYPERLINK("https://klasma.github.io/Logging_1267/tillsynsmail/S 8845-2021 tillsynsbegäran mail.docx", "S 8845-2021")</f>
        <v/>
      </c>
      <c r="AD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X4">
        <f>HYPERLINK("https://klasma.github.io/Logging_1267/kartor_geotiff/A 60427-2022 georefererad karta.tif", "A 60427-2022")</f>
        <v/>
      </c>
      <c r="Z4">
        <f>HYPERLINK("https://klasma.github.io/Logging_1267/klagomål/A 60427-2022 FSC-klagomål.docx", "A 60427-2022")</f>
        <v/>
      </c>
      <c r="AA4">
        <f>HYPERLINK("https://klasma.github.io/Logging_1267/klagomålsmail/A 60427-2022 FSC-klagomål mail.docx", "A 60427-2022")</f>
        <v/>
      </c>
      <c r="AB4">
        <f>HYPERLINK("https://klasma.github.io/Logging_1267/tillsyn/A 60427-2022 tillsynsbegäran.docx", "A 60427-2022")</f>
        <v/>
      </c>
      <c r="AC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X5">
        <f>HYPERLINK("https://klasma.github.io/Logging_1267/kartor_geotiff/A 70984-2021 georefererad karta.tif", "A 70984-2021")</f>
        <v/>
      </c>
      <c r="Z5">
        <f>HYPERLINK("https://klasma.github.io/Logging_1267/klagomål/A 70984-2021 FSC-klagomål.docx", "A 70984-2021")</f>
        <v/>
      </c>
      <c r="AA5">
        <f>HYPERLINK("https://klasma.github.io/Logging_1267/klagomålsmail/A 70984-2021 FSC-klagomål mail.docx", "A 70984-2021")</f>
        <v/>
      </c>
      <c r="AB5">
        <f>HYPERLINK("https://klasma.github.io/Logging_1267/tillsyn/A 70984-2021 tillsynsbegäran.docx", "A 70984-2021")</f>
        <v/>
      </c>
      <c r="AC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X6">
        <f>HYPERLINK("https://klasma.github.io/Logging_1267/kartor_geotiff/A 22392-2022 georefererad karta.tif", "A 22392-2022")</f>
        <v/>
      </c>
      <c r="Z6">
        <f>HYPERLINK("https://klasma.github.io/Logging_1267/klagomål/A 22392-2022 FSC-klagomål.docx", "A 22392-2022")</f>
        <v/>
      </c>
      <c r="AA6">
        <f>HYPERLINK("https://klasma.github.io/Logging_1267/klagomålsmail/A 22392-2022 FSC-klagomål mail.docx", "A 22392-2022")</f>
        <v/>
      </c>
      <c r="AB6">
        <f>HYPERLINK("https://klasma.github.io/Logging_1267/tillsyn/A 22392-2022 tillsynsbegäran.docx", "A 22392-2022")</f>
        <v/>
      </c>
      <c r="AC6">
        <f>HYPERLINK("https://klasma.github.io/Logging_1267/tillsynsmail/A 22392-2022 tillsynsbegäran mail.docx", "A 22392-2022")</f>
        <v/>
      </c>
      <c r="AD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X7">
        <f>HYPERLINK("https://klasma.github.io/Logging_1267/kartor_geotiff/A 13475-2024 georefererad karta.tif", "A 13475-2024")</f>
        <v/>
      </c>
      <c r="Z7">
        <f>HYPERLINK("https://klasma.github.io/Logging_1267/klagomål/A 13475-2024 FSC-klagomål.docx", "A 13475-2024")</f>
        <v/>
      </c>
      <c r="AA7">
        <f>HYPERLINK("https://klasma.github.io/Logging_1267/klagomålsmail/A 13475-2024 FSC-klagomål mail.docx", "A 13475-2024")</f>
        <v/>
      </c>
      <c r="AB7">
        <f>HYPERLINK("https://klasma.github.io/Logging_1267/tillsyn/A 13475-2024 tillsynsbegäran.docx", "A 13475-2024")</f>
        <v/>
      </c>
      <c r="AC7">
        <f>HYPERLINK("https://klasma.github.io/Logging_1267/tillsynsmail/A 13475-2024 tillsynsbegäran mail.docx", "A 13475-2024")</f>
        <v/>
      </c>
      <c r="AD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X8">
        <f>HYPERLINK("https://klasma.github.io/Logging_1267/kartor_geotiff/A 19517-2023 georefererad karta.tif", "A 19517-2023")</f>
        <v/>
      </c>
      <c r="Z8">
        <f>HYPERLINK("https://klasma.github.io/Logging_1267/klagomål/A 19517-2023 FSC-klagomål.docx", "A 19517-2023")</f>
        <v/>
      </c>
      <c r="AA8">
        <f>HYPERLINK("https://klasma.github.io/Logging_1267/klagomålsmail/A 19517-2023 FSC-klagomål mail.docx", "A 19517-2023")</f>
        <v/>
      </c>
      <c r="AB8">
        <f>HYPERLINK("https://klasma.github.io/Logging_1267/tillsyn/A 19517-2023 tillsynsbegäran.docx", "A 19517-2023")</f>
        <v/>
      </c>
      <c r="AC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X9">
        <f>HYPERLINK("https://klasma.github.io/Logging_1267/kartor_geotiff/S 8853-2021 georefererad karta.tif", "S 8853-2021")</f>
        <v/>
      </c>
      <c r="Z9">
        <f>HYPERLINK("https://klasma.github.io/Logging_1267/klagomål/S 8853-2021 FSC-klagomål.docx", "S 8853-2021")</f>
        <v/>
      </c>
      <c r="AA9">
        <f>HYPERLINK("https://klasma.github.io/Logging_1267/klagomålsmail/S 8853-2021 FSC-klagomål mail.docx", "S 8853-2021")</f>
        <v/>
      </c>
      <c r="AB9">
        <f>HYPERLINK("https://klasma.github.io/Logging_1267/tillsyn/S 8853-2021 tillsynsbegäran.docx", "S 8853-2021")</f>
        <v/>
      </c>
      <c r="AC9">
        <f>HYPERLINK("https://klasma.github.io/Logging_1267/tillsynsmail/S 8853-2021 tillsynsbegäran mail.docx", "S 8853-2021")</f>
        <v/>
      </c>
      <c r="AD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X10">
        <f>HYPERLINK("https://klasma.github.io/Logging_1267/kartor_geotiff/A 24278-2023 georefererad karta.tif", "A 24278-2023")</f>
        <v/>
      </c>
      <c r="Z10">
        <f>HYPERLINK("https://klasma.github.io/Logging_1267/klagomål/A 24278-2023 FSC-klagomål.docx", "A 24278-2023")</f>
        <v/>
      </c>
      <c r="AA10">
        <f>HYPERLINK("https://klasma.github.io/Logging_1267/klagomålsmail/A 24278-2023 FSC-klagomål mail.docx", "A 24278-2023")</f>
        <v/>
      </c>
      <c r="AB10">
        <f>HYPERLINK("https://klasma.github.io/Logging_1267/tillsyn/A 24278-2023 tillsynsbegäran.docx", "A 24278-2023")</f>
        <v/>
      </c>
      <c r="AC10">
        <f>HYPERLINK("https://klasma.github.io/Logging_1267/tillsynsmail/A 24278-2023 tillsynsbegäran mail.docx", "A 24278-2023")</f>
        <v/>
      </c>
      <c r="AD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X11">
        <f>HYPERLINK("https://klasma.github.io/Logging_1267/kartor_geotiff/A 8315-2026 georefererad karta.tif", "A 8315-2026")</f>
        <v/>
      </c>
      <c r="Z11">
        <f>HYPERLINK("https://klasma.github.io/Logging_1267/klagomål/A 8315-2026 FSC-klagomål.docx", "A 8315-2026")</f>
        <v/>
      </c>
      <c r="AA11">
        <f>HYPERLINK("https://klasma.github.io/Logging_1267/klagomålsmail/A 8315-2026 FSC-klagomål mail.docx", "A 8315-2026")</f>
        <v/>
      </c>
      <c r="AB11">
        <f>HYPERLINK("https://klasma.github.io/Logging_1267/tillsyn/A 8315-2026 tillsynsbegäran.docx", "A 8315-2026")</f>
        <v/>
      </c>
      <c r="AC11">
        <f>HYPERLINK("https://klasma.github.io/Logging_1267/tillsynsmail/A 8315-2026 tillsynsbegäran mail.docx", "A 8315-2026")</f>
        <v/>
      </c>
      <c r="AD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X12">
        <f>HYPERLINK("https://klasma.github.io/Logging_1267/kartor_geotiff/A 42692-2022 georefererad karta.tif", "A 42692-2022")</f>
        <v/>
      </c>
      <c r="Z12">
        <f>HYPERLINK("https://klasma.github.io/Logging_1267/klagomål/A 42692-2022 FSC-klagomål.docx", "A 42692-2022")</f>
        <v/>
      </c>
      <c r="AA12">
        <f>HYPERLINK("https://klasma.github.io/Logging_1267/klagomålsmail/A 42692-2022 FSC-klagomål mail.docx", "A 42692-2022")</f>
        <v/>
      </c>
      <c r="AB12">
        <f>HYPERLINK("https://klasma.github.io/Logging_1267/tillsyn/A 42692-2022 tillsynsbegäran.docx", "A 42692-2022")</f>
        <v/>
      </c>
      <c r="AC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X13">
        <f>HYPERLINK("https://klasma.github.io/Logging_1267/kartor_geotiff/A 2787-2024 georefererad karta.tif", "A 2787-2024")</f>
        <v/>
      </c>
      <c r="Z13">
        <f>HYPERLINK("https://klasma.github.io/Logging_1267/klagomål/A 2787-2024 FSC-klagomål.docx", "A 2787-2024")</f>
        <v/>
      </c>
      <c r="AA13">
        <f>HYPERLINK("https://klasma.github.io/Logging_1267/klagomålsmail/A 2787-2024 FSC-klagomål mail.docx", "A 2787-2024")</f>
        <v/>
      </c>
      <c r="AB13">
        <f>HYPERLINK("https://klasma.github.io/Logging_1267/tillsyn/A 2787-2024 tillsynsbegäran.docx", "A 2787-2024")</f>
        <v/>
      </c>
      <c r="AC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X14">
        <f>HYPERLINK("https://klasma.github.io/Logging_1267/kartor_geotiff/A 30603-2026 georefererad karta.tif", "A 30603-2026")</f>
        <v/>
      </c>
      <c r="Z14">
        <f>HYPERLINK("https://klasma.github.io/Logging_1267/klagomål/A 30603-2026 FSC-klagomål.docx", "A 30603-2026")</f>
        <v/>
      </c>
      <c r="AA14">
        <f>HYPERLINK("https://klasma.github.io/Logging_1267/klagomålsmail/A 30603-2026 FSC-klagomål mail.docx", "A 30603-2026")</f>
        <v/>
      </c>
      <c r="AB14">
        <f>HYPERLINK("https://klasma.github.io/Logging_1267/tillsyn/A 30603-2026 tillsynsbegäran.docx", "A 30603-2026")</f>
        <v/>
      </c>
      <c r="AC14">
        <f>HYPERLINK("https://klasma.github.io/Logging_1267/tillsynsmail/A 30603-2026 tillsynsbegäran mail.docx", "A 30603-2026")</f>
        <v/>
      </c>
      <c r="AD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46223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X15">
        <f>HYPERLINK("https://klasma.github.io/Logging_1267/kartor_geotiff/A 12111-2025 georefererad karta.tif", "A 12111-2025")</f>
        <v/>
      </c>
      <c r="Z15">
        <f>HYPERLINK("https://klasma.github.io/Logging_1267/klagomål/A 12111-2025 FSC-klagomål.docx", "A 12111-2025")</f>
        <v/>
      </c>
      <c r="AA15">
        <f>HYPERLINK("https://klasma.github.io/Logging_1267/klagomålsmail/A 12111-2025 FSC-klagomål mail.docx", "A 12111-2025")</f>
        <v/>
      </c>
      <c r="AB15">
        <f>HYPERLINK("https://klasma.github.io/Logging_1267/tillsyn/A 12111-2025 tillsynsbegäran.docx", "A 12111-2025")</f>
        <v/>
      </c>
      <c r="AC15">
        <f>HYPERLINK("https://klasma.github.io/Logging_1267/tillsynsmail/A 12111-2025 tillsynsbegäran mail.docx", "A 12111-2025")</f>
        <v/>
      </c>
      <c r="AD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46223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X16">
        <f>HYPERLINK("https://klasma.github.io/Logging_1267/kartor_geotiff/A 7616-2024 georefererad karta.tif", "A 7616-2024")</f>
        <v/>
      </c>
      <c r="Z16">
        <f>HYPERLINK("https://klasma.github.io/Logging_1267/klagomål/A 7616-2024 FSC-klagomål.docx", "A 7616-2024")</f>
        <v/>
      </c>
      <c r="AA16">
        <f>HYPERLINK("https://klasma.github.io/Logging_1267/klagomålsmail/A 7616-2024 FSC-klagomål mail.docx", "A 7616-2024")</f>
        <v/>
      </c>
      <c r="AB16">
        <f>HYPERLINK("https://klasma.github.io/Logging_1267/tillsyn/A 7616-2024 tillsynsbegäran.docx", "A 7616-2024")</f>
        <v/>
      </c>
      <c r="AC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46223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X17">
        <f>HYPERLINK("https://klasma.github.io/Logging_1267/kartor_geotiff/A 30645-2022 georefererad karta.tif", "A 30645-2022")</f>
        <v/>
      </c>
      <c r="Z17">
        <f>HYPERLINK("https://klasma.github.io/Logging_1267/klagomål/A 30645-2022 FSC-klagomål.docx", "A 30645-2022")</f>
        <v/>
      </c>
      <c r="AA17">
        <f>HYPERLINK("https://klasma.github.io/Logging_1267/klagomålsmail/A 30645-2022 FSC-klagomål mail.docx", "A 30645-2022")</f>
        <v/>
      </c>
      <c r="AB17">
        <f>HYPERLINK("https://klasma.github.io/Logging_1267/tillsyn/A 30645-2022 tillsynsbegäran.docx", "A 30645-2022")</f>
        <v/>
      </c>
      <c r="AC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X18">
        <f>HYPERLINK("https://klasma.github.io/Logging_1267/kartor_geotiff/S 2917-2022 georefererad karta.tif", "S 2917-2022")</f>
        <v/>
      </c>
      <c r="Z18">
        <f>HYPERLINK("https://klasma.github.io/Logging_1267/klagomål/S 2917-2022 FSC-klagomål.docx", "S 2917-2022")</f>
        <v/>
      </c>
      <c r="AA18">
        <f>HYPERLINK("https://klasma.github.io/Logging_1267/klagomålsmail/S 2917-2022 FSC-klagomål mail.docx", "S 2917-2022")</f>
        <v/>
      </c>
      <c r="AB18">
        <f>HYPERLINK("https://klasma.github.io/Logging_1267/tillsyn/S 2917-2022 tillsynsbegäran.docx", "S 2917-2022")</f>
        <v/>
      </c>
      <c r="AC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X19">
        <f>HYPERLINK("https://klasma.github.io/Logging_1267/kartor_geotiff/S 3290-2023 georefererad karta.tif", "S 3290-2023")</f>
        <v/>
      </c>
      <c r="Z19">
        <f>HYPERLINK("https://klasma.github.io/Logging_1267/klagomål/S 3290-2023 FSC-klagomål.docx", "S 3290-2023")</f>
        <v/>
      </c>
      <c r="AA19">
        <f>HYPERLINK("https://klasma.github.io/Logging_1267/klagomålsmail/S 3290-2023 FSC-klagomål mail.docx", "S 3290-2023")</f>
        <v/>
      </c>
      <c r="AB19">
        <f>HYPERLINK("https://klasma.github.io/Logging_1267/tillsyn/S 3290-2023 tillsynsbegäran.docx", "S 3290-2023")</f>
        <v/>
      </c>
      <c r="AC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X20">
        <f>HYPERLINK("https://klasma.github.io/Logging_1267/kartor_geotiff/S 8867-2021 georefererad karta.tif", "S 8867-2021")</f>
        <v/>
      </c>
      <c r="Z20">
        <f>HYPERLINK("https://klasma.github.io/Logging_1267/klagomål/S 8867-2021 FSC-klagomål.docx", "S 8867-2021")</f>
        <v/>
      </c>
      <c r="AA20">
        <f>HYPERLINK("https://klasma.github.io/Logging_1267/klagomålsmail/S 8867-2021 FSC-klagomål mail.docx", "S 8867-2021")</f>
        <v/>
      </c>
      <c r="AB20">
        <f>HYPERLINK("https://klasma.github.io/Logging_1267/tillsyn/S 8867-2021 tillsynsbegäran.docx", "S 8867-2021")</f>
        <v/>
      </c>
      <c r="AC20">
        <f>HYPERLINK("https://klasma.github.io/Logging_1267/tillsynsmail/S 8867-2021 tillsynsbegäran mail.docx", "S 8867-2021")</f>
        <v/>
      </c>
      <c r="AD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X21">
        <f>HYPERLINK("https://klasma.github.io/Logging_1267/kartor_geotiff/A 8443-2022 georefererad karta.tif", "A 8443-2022")</f>
        <v/>
      </c>
      <c r="Z21">
        <f>HYPERLINK("https://klasma.github.io/Logging_1267/klagomål/A 8443-2022 FSC-klagomål.docx", "A 8443-2022")</f>
        <v/>
      </c>
      <c r="AA21">
        <f>HYPERLINK("https://klasma.github.io/Logging_1267/klagomålsmail/A 8443-2022 FSC-klagomål mail.docx", "A 8443-2022")</f>
        <v/>
      </c>
      <c r="AB21">
        <f>HYPERLINK("https://klasma.github.io/Logging_1267/tillsyn/A 8443-2022 tillsynsbegäran.docx", "A 8443-2022")</f>
        <v/>
      </c>
      <c r="AC21">
        <f>HYPERLINK("https://klasma.github.io/Logging_1267/tillsynsmail/A 8443-2022 tillsynsbegäran mail.docx", "A 8443-2022")</f>
        <v/>
      </c>
      <c r="AD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46223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Spillkråka</t>
        </is>
      </c>
      <c r="V22">
        <f>HYPERLINK("https://klasma.github.io/Logging_1267/artfynd/A 8329-2026 artfynd.xlsx", "A 8329-2026")</f>
        <v/>
      </c>
      <c r="W22">
        <f>HYPERLINK("https://klasma.github.io/Logging_1267/kartor/A 8329-2026 karta.png", "A 8329-2026")</f>
        <v/>
      </c>
      <c r="X22">
        <f>HYPERLINK("https://klasma.github.io/Logging_1267/kartor_geotiff/A 8329-2026 georefererad karta.tif", "A 8329-2026")</f>
        <v/>
      </c>
      <c r="Z22">
        <f>HYPERLINK("https://klasma.github.io/Logging_1267/klagomål/A 8329-2026 FSC-klagomål.docx", "A 8329-2026")</f>
        <v/>
      </c>
      <c r="AA22">
        <f>HYPERLINK("https://klasma.github.io/Logging_1267/klagomålsmail/A 8329-2026 FSC-klagomål mail.docx", "A 8329-2026")</f>
        <v/>
      </c>
      <c r="AB22">
        <f>HYPERLINK("https://klasma.github.io/Logging_1267/tillsyn/A 8329-2026 tillsynsbegäran.docx", "A 8329-2026")</f>
        <v/>
      </c>
      <c r="AC22">
        <f>HYPERLINK("https://klasma.github.io/Logging_1267/tillsynsmail/A 8329-2026 tillsynsbegäran mail.docx", "A 8329-2026")</f>
        <v/>
      </c>
      <c r="AD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46223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Skogsbräsma
Revlummer</t>
        </is>
      </c>
      <c r="V23">
        <f>HYPERLINK("https://klasma.github.io/Logging_1267/artfynd/A 2942-2024 artfynd.xlsx", "A 2942-2024")</f>
        <v/>
      </c>
      <c r="W23">
        <f>HYPERLINK("https://klasma.github.io/Logging_1267/kartor/A 2942-2024 karta.png", "A 2942-2024")</f>
        <v/>
      </c>
      <c r="X23">
        <f>HYPERLINK("https://klasma.github.io/Logging_1267/kartor_geotiff/A 2942-2024 georefererad karta.tif", "A 2942-2024")</f>
        <v/>
      </c>
      <c r="Z23">
        <f>HYPERLINK("https://klasma.github.io/Logging_1267/klagomål/A 2942-2024 FSC-klagomål.docx", "A 2942-2024")</f>
        <v/>
      </c>
      <c r="AA23">
        <f>HYPERLINK("https://klasma.github.io/Logging_1267/klagomålsmail/A 2942-2024 FSC-klagomål mail.docx", "A 2942-2024")</f>
        <v/>
      </c>
      <c r="AB23">
        <f>HYPERLINK("https://klasma.github.io/Logging_1267/tillsyn/A 2942-2024 tillsynsbegäran.docx", "A 2942-2024")</f>
        <v/>
      </c>
      <c r="AC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46223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s="2" t="inlineStr">
        <is>
          <t>Entita
Grönsångare</t>
        </is>
      </c>
      <c r="V24">
        <f>HYPERLINK("https://klasma.github.io/Logging_1267/artfynd/A 24597-2026 artfynd.xlsx", "A 24597-2026")</f>
        <v/>
      </c>
      <c r="W24">
        <f>HYPERLINK("https://klasma.github.io/Logging_1267/kartor/A 24597-2026 karta.png", "A 24597-2026")</f>
        <v/>
      </c>
      <c r="X24">
        <f>HYPERLINK("https://klasma.github.io/Logging_1267/kartor_geotiff/A 24597-2026 georefererad karta.tif", "A 24597-2026")</f>
        <v/>
      </c>
      <c r="Z24">
        <f>HYPERLINK("https://klasma.github.io/Logging_1267/klagomål/A 24597-2026 FSC-klagomål.docx", "A 24597-2026")</f>
        <v/>
      </c>
      <c r="AA24">
        <f>HYPERLINK("https://klasma.github.io/Logging_1267/klagomålsmail/A 24597-2026 FSC-klagomål mail.docx", "A 24597-2026")</f>
        <v/>
      </c>
      <c r="AB24">
        <f>HYPERLINK("https://klasma.github.io/Logging_1267/tillsyn/A 24597-2026 tillsynsbegäran.docx", "A 24597-2026")</f>
        <v/>
      </c>
      <c r="AC24">
        <f>HYPERLINK("https://klasma.github.io/Logging_1267/tillsynsmail/A 24597-2026 tillsynsbegäran mail.docx", "A 24597-2026")</f>
        <v/>
      </c>
      <c r="AD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46223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X25">
        <f>HYPERLINK("https://klasma.github.io/Logging_1267/kartor_geotiff/S 8923-2021 georefererad karta.tif", "S 8923-2021")</f>
        <v/>
      </c>
      <c r="Z25">
        <f>HYPERLINK("https://klasma.github.io/Logging_1267/klagomål/S 8923-2021 FSC-klagomål.docx", "S 8923-2021")</f>
        <v/>
      </c>
      <c r="AA25">
        <f>HYPERLINK("https://klasma.github.io/Logging_1267/klagomålsmail/S 8923-2021 FSC-klagomål mail.docx", "S 8923-2021")</f>
        <v/>
      </c>
      <c r="AB25">
        <f>HYPERLINK("https://klasma.github.io/Logging_1267/tillsyn/S 8923-2021 tillsynsbegäran.docx", "S 8923-2021")</f>
        <v/>
      </c>
      <c r="AC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46223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X26">
        <f>HYPERLINK("https://klasma.github.io/Logging_1267/kartor_geotiff/S 6042-2022 georefererad karta.tif", "S 6042-2022")</f>
        <v/>
      </c>
      <c r="Z26">
        <f>HYPERLINK("https://klasma.github.io/Logging_1267/klagomål/S 6042-2022 FSC-klagomål.docx", "S 6042-2022")</f>
        <v/>
      </c>
      <c r="AA26">
        <f>HYPERLINK("https://klasma.github.io/Logging_1267/klagomålsmail/S 6042-2022 FSC-klagomål mail.docx", "S 6042-2022")</f>
        <v/>
      </c>
      <c r="AB26">
        <f>HYPERLINK("https://klasma.github.io/Logging_1267/tillsyn/S 6042-2022 tillsynsbegäran.docx", "S 6042-2022")</f>
        <v/>
      </c>
      <c r="AC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46223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X27">
        <f>HYPERLINK("https://klasma.github.io/Logging_1267/kartor_geotiff/A 44327-2021 georefererad karta.tif", "A 44327-2021")</f>
        <v/>
      </c>
      <c r="Z27">
        <f>HYPERLINK("https://klasma.github.io/Logging_1267/klagomål/A 44327-2021 FSC-klagomål.docx", "A 44327-2021")</f>
        <v/>
      </c>
      <c r="AA27">
        <f>HYPERLINK("https://klasma.github.io/Logging_1267/klagomålsmail/A 44327-2021 FSC-klagomål mail.docx", "A 44327-2021")</f>
        <v/>
      </c>
      <c r="AB27">
        <f>HYPERLINK("https://klasma.github.io/Logging_1267/tillsyn/A 44327-2021 tillsynsbegäran.docx", "A 44327-2021")</f>
        <v/>
      </c>
      <c r="AC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46223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X28">
        <f>HYPERLINK("https://klasma.github.io/Logging_1267/kartor_geotiff/A 18939-2022 georefererad karta.tif", "A 18939-2022")</f>
        <v/>
      </c>
      <c r="Z28">
        <f>HYPERLINK("https://klasma.github.io/Logging_1267/klagomål/A 18939-2022 FSC-klagomål.docx", "A 18939-2022")</f>
        <v/>
      </c>
      <c r="AA28">
        <f>HYPERLINK("https://klasma.github.io/Logging_1267/klagomålsmail/A 18939-2022 FSC-klagomål mail.docx", "A 18939-2022")</f>
        <v/>
      </c>
      <c r="AB28">
        <f>HYPERLINK("https://klasma.github.io/Logging_1267/tillsyn/A 18939-2022 tillsynsbegäran.docx", "A 18939-2022")</f>
        <v/>
      </c>
      <c r="AC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46223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X29">
        <f>HYPERLINK("https://klasma.github.io/Logging_1267/kartor_geotiff/A 46919-2021 georefererad karta.tif", "A 46919-2021")</f>
        <v/>
      </c>
      <c r="Z29">
        <f>HYPERLINK("https://klasma.github.io/Logging_1267/klagomål/A 46919-2021 FSC-klagomål.docx", "A 46919-2021")</f>
        <v/>
      </c>
      <c r="AA29">
        <f>HYPERLINK("https://klasma.github.io/Logging_1267/klagomålsmail/A 46919-2021 FSC-klagomål mail.docx", "A 46919-2021")</f>
        <v/>
      </c>
      <c r="AB29">
        <f>HYPERLINK("https://klasma.github.io/Logging_1267/tillsyn/A 46919-2021 tillsynsbegäran.docx", "A 46919-2021")</f>
        <v/>
      </c>
      <c r="AC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46223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Ängskovall</t>
        </is>
      </c>
      <c r="V30">
        <f>HYPERLINK("https://klasma.github.io/Logging_1267/artfynd/A 53956-2023 artfynd.xlsx", "A 53956-2023")</f>
        <v/>
      </c>
      <c r="W30">
        <f>HYPERLINK("https://klasma.github.io/Logging_1267/kartor/A 53956-2023 karta.png", "A 53956-2023")</f>
        <v/>
      </c>
      <c r="X30">
        <f>HYPERLINK("https://klasma.github.io/Logging_1267/kartor_geotiff/A 53956-2023 georefererad karta.tif", "A 53956-2023")</f>
        <v/>
      </c>
      <c r="Z30">
        <f>HYPERLINK("https://klasma.github.io/Logging_1267/klagomål/A 53956-2023 FSC-klagomål.docx", "A 53956-2023")</f>
        <v/>
      </c>
      <c r="AA30">
        <f>HYPERLINK("https://klasma.github.io/Logging_1267/klagomålsmail/A 53956-2023 FSC-klagomål mail.docx", "A 53956-2023")</f>
        <v/>
      </c>
      <c r="AB30">
        <f>HYPERLINK("https://klasma.github.io/Logging_1267/tillsyn/A 53956-2023 tillsynsbegäran.docx", "A 53956-2023")</f>
        <v/>
      </c>
      <c r="AC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46223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Vitnoppa</t>
        </is>
      </c>
      <c r="V31">
        <f>HYPERLINK("https://klasma.github.io/Logging_1267/artfynd/A 3924-2024 artfynd.xlsx", "A 3924-2024")</f>
        <v/>
      </c>
      <c r="W31">
        <f>HYPERLINK("https://klasma.github.io/Logging_1267/kartor/A 3924-2024 karta.png", "A 3924-2024")</f>
        <v/>
      </c>
      <c r="X31">
        <f>HYPERLINK("https://klasma.github.io/Logging_1267/kartor_geotiff/A 3924-2024 georefererad karta.tif", "A 3924-2024")</f>
        <v/>
      </c>
      <c r="Z31">
        <f>HYPERLINK("https://klasma.github.io/Logging_1267/klagomål/A 3924-2024 FSC-klagomål.docx", "A 3924-2024")</f>
        <v/>
      </c>
      <c r="AA31">
        <f>HYPERLINK("https://klasma.github.io/Logging_1267/klagomålsmail/A 3924-2024 FSC-klagomål mail.docx", "A 3924-2024")</f>
        <v/>
      </c>
      <c r="AB31">
        <f>HYPERLINK("https://klasma.github.io/Logging_1267/tillsyn/A 3924-2024 tillsynsbegäran.docx", "A 3924-2024")</f>
        <v/>
      </c>
      <c r="AC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46223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HYPERLINK("https://klasma.github.io/Logging_1267/artfynd/A 54753-2022 artfynd.xlsx", "A 54753-2022")</f>
        <v/>
      </c>
      <c r="W32">
        <f>HYPERLINK("https://klasma.github.io/Logging_1267/kartor/A 54753-2022 karta.png", "A 54753-2022")</f>
        <v/>
      </c>
      <c r="X32">
        <f>HYPERLINK("https://klasma.github.io/Logging_1267/kartor_geotiff/A 54753-2022 georefererad karta.tif", "A 54753-2022")</f>
        <v/>
      </c>
      <c r="Z32">
        <f>HYPERLINK("https://klasma.github.io/Logging_1267/klagomål/A 54753-2022 FSC-klagomål.docx", "A 54753-2022")</f>
        <v/>
      </c>
      <c r="AA32">
        <f>HYPERLINK("https://klasma.github.io/Logging_1267/klagomålsmail/A 54753-2022 FSC-klagomål mail.docx", "A 54753-2022")</f>
        <v/>
      </c>
      <c r="AB32">
        <f>HYPERLINK("https://klasma.github.io/Logging_1267/tillsyn/A 54753-2022 tillsynsbegäran.docx", "A 54753-2022")</f>
        <v/>
      </c>
      <c r="AC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46223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Småvänderot</t>
        </is>
      </c>
      <c r="V33">
        <f>HYPERLINK("https://klasma.github.io/Logging_1267/artfynd/A 45550-2025 artfynd.xlsx", "A 45550-2025")</f>
        <v/>
      </c>
      <c r="W33">
        <f>HYPERLINK("https://klasma.github.io/Logging_1267/kartor/A 45550-2025 karta.png", "A 45550-2025")</f>
        <v/>
      </c>
      <c r="X33">
        <f>HYPERLINK("https://klasma.github.io/Logging_1267/kartor_geotiff/A 45550-2025 georefererad karta.tif", "A 45550-2025")</f>
        <v/>
      </c>
      <c r="Z33">
        <f>HYPERLINK("https://klasma.github.io/Logging_1267/klagomål/A 45550-2025 FSC-klagomål.docx", "A 45550-2025")</f>
        <v/>
      </c>
      <c r="AA33">
        <f>HYPERLINK("https://klasma.github.io/Logging_1267/klagomålsmail/A 45550-2025 FSC-klagomål mail.docx", "A 45550-2025")</f>
        <v/>
      </c>
      <c r="AB33">
        <f>HYPERLINK("https://klasma.github.io/Logging_1267/tillsyn/A 45550-2025 tillsynsbegäran.docx", "A 45550-2025")</f>
        <v/>
      </c>
      <c r="AC33">
        <f>HYPERLINK("https://klasma.github.io/Logging_1267/tillsynsmail/A 45550-2025 tillsynsbegäran mail.docx", "A 45550-2025")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46223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Skogsbräsma</t>
        </is>
      </c>
      <c r="V34">
        <f>HYPERLINK("https://klasma.github.io/Logging_1267/artfynd/A 13429-2023 artfynd.xlsx", "A 13429-2023")</f>
        <v/>
      </c>
      <c r="W34">
        <f>HYPERLINK("https://klasma.github.io/Logging_1267/kartor/A 13429-2023 karta.png", "A 13429-2023")</f>
        <v/>
      </c>
      <c r="X34">
        <f>HYPERLINK("https://klasma.github.io/Logging_1267/kartor_geotiff/A 13429-2023 georefererad karta.tif", "A 13429-2023")</f>
        <v/>
      </c>
      <c r="Z34">
        <f>HYPERLINK("https://klasma.github.io/Logging_1267/klagomål/A 13429-2023 FSC-klagomål.docx", "A 13429-2023")</f>
        <v/>
      </c>
      <c r="AA34">
        <f>HYPERLINK("https://klasma.github.io/Logging_1267/klagomålsmail/A 13429-2023 FSC-klagomål mail.docx", "A 13429-2023")</f>
        <v/>
      </c>
      <c r="AB34">
        <f>HYPERLINK("https://klasma.github.io/Logging_1267/tillsyn/A 13429-2023 tillsynsbegäran.docx", "A 13429-2023")</f>
        <v/>
      </c>
      <c r="AC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46223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Kungsfiskare</t>
        </is>
      </c>
      <c r="V35">
        <f>HYPERLINK("https://klasma.github.io/Logging_1267/artfynd/A 61007-2024 artfynd.xlsx", "A 61007-2024")</f>
        <v/>
      </c>
      <c r="W35">
        <f>HYPERLINK("https://klasma.github.io/Logging_1267/kartor/A 61007-2024 karta.png", "A 61007-2024")</f>
        <v/>
      </c>
      <c r="X35">
        <f>HYPERLINK("https://klasma.github.io/Logging_1267/kartor_geotiff/A 61007-2024 georefererad karta.tif", "A 61007-2024")</f>
        <v/>
      </c>
      <c r="Z35">
        <f>HYPERLINK("https://klasma.github.io/Logging_1267/klagomål/A 61007-2024 FSC-klagomål.docx", "A 61007-2024")</f>
        <v/>
      </c>
      <c r="AA35">
        <f>HYPERLINK("https://klasma.github.io/Logging_1267/klagomålsmail/A 61007-2024 FSC-klagomål mail.docx", "A 61007-2024")</f>
        <v/>
      </c>
      <c r="AB35">
        <f>HYPERLINK("https://klasma.github.io/Logging_1267/tillsyn/A 61007-2024 tillsynsbegäran.docx", "A 61007-2024")</f>
        <v/>
      </c>
      <c r="AC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46223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Skogsalm</t>
        </is>
      </c>
      <c r="V36">
        <f>HYPERLINK("https://klasma.github.io/Logging_1267/artfynd/A 27902-2023 artfynd.xlsx", "A 27902-2023")</f>
        <v/>
      </c>
      <c r="W36">
        <f>HYPERLINK("https://klasma.github.io/Logging_1267/kartor/A 27902-2023 karta.png", "A 27902-2023")</f>
        <v/>
      </c>
      <c r="X36">
        <f>HYPERLINK("https://klasma.github.io/Logging_1267/kartor_geotiff/A 27902-2023 georefererad karta.tif", "A 27902-2023")</f>
        <v/>
      </c>
      <c r="Z36">
        <f>HYPERLINK("https://klasma.github.io/Logging_1267/klagomål/A 27902-2023 FSC-klagomål.docx", "A 27902-2023")</f>
        <v/>
      </c>
      <c r="AA36">
        <f>HYPERLINK("https://klasma.github.io/Logging_1267/klagomålsmail/A 27902-2023 FSC-klagomål mail.docx", "A 27902-2023")</f>
        <v/>
      </c>
      <c r="AB36">
        <f>HYPERLINK("https://klasma.github.io/Logging_1267/tillsyn/A 27902-2023 tillsynsbegäran.docx", "A 27902-2023")</f>
        <v/>
      </c>
      <c r="AC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46223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Klotullört</t>
        </is>
      </c>
      <c r="V37">
        <f>HYPERLINK("https://klasma.github.io/Logging_1267/artfynd/A 18348-2022 artfynd.xlsx", "A 18348-2022")</f>
        <v/>
      </c>
      <c r="W37">
        <f>HYPERLINK("https://klasma.github.io/Logging_1267/kartor/A 18348-2022 karta.png", "A 18348-2022")</f>
        <v/>
      </c>
      <c r="X37">
        <f>HYPERLINK("https://klasma.github.io/Logging_1267/kartor_geotiff/A 18348-2022 georefererad karta.tif", "A 18348-2022")</f>
        <v/>
      </c>
      <c r="Z37">
        <f>HYPERLINK("https://klasma.github.io/Logging_1267/klagomål/A 18348-2022 FSC-klagomål.docx", "A 18348-2022")</f>
        <v/>
      </c>
      <c r="AA37">
        <f>HYPERLINK("https://klasma.github.io/Logging_1267/klagomålsmail/A 18348-2022 FSC-klagomål mail.docx", "A 18348-2022")</f>
        <v/>
      </c>
      <c r="AB37">
        <f>HYPERLINK("https://klasma.github.io/Logging_1267/tillsyn/A 18348-2022 tillsynsbegäran.docx", "A 18348-2022")</f>
        <v/>
      </c>
      <c r="AC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46223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Igelkott</t>
        </is>
      </c>
      <c r="V38">
        <f>HYPERLINK("https://klasma.github.io/Logging_1267/artfynd/A 27233-2022 artfynd.xlsx", "A 27233-2022")</f>
        <v/>
      </c>
      <c r="W38">
        <f>HYPERLINK("https://klasma.github.io/Logging_1267/kartor/A 27233-2022 karta.png", "A 27233-2022")</f>
        <v/>
      </c>
      <c r="X38">
        <f>HYPERLINK("https://klasma.github.io/Logging_1267/kartor_geotiff/A 27233-2022 georefererad karta.tif", "A 27233-2022")</f>
        <v/>
      </c>
      <c r="Z38">
        <f>HYPERLINK("https://klasma.github.io/Logging_1267/klagomål/A 27233-2022 FSC-klagomål.docx", "A 27233-2022")</f>
        <v/>
      </c>
      <c r="AA38">
        <f>HYPERLINK("https://klasma.github.io/Logging_1267/klagomålsmail/A 27233-2022 FSC-klagomål mail.docx", "A 27233-2022")</f>
        <v/>
      </c>
      <c r="AB38">
        <f>HYPERLINK("https://klasma.github.io/Logging_1267/tillsyn/A 27233-2022 tillsynsbegäran.docx", "A 27233-2022")</f>
        <v/>
      </c>
      <c r="AC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46223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Småvänderot</t>
        </is>
      </c>
      <c r="V39">
        <f>HYPERLINK("https://klasma.github.io/Logging_1267/artfynd/A 42053-2023 artfynd.xlsx", "A 42053-2023")</f>
        <v/>
      </c>
      <c r="W39">
        <f>HYPERLINK("https://klasma.github.io/Logging_1267/kartor/A 42053-2023 karta.png", "A 42053-2023")</f>
        <v/>
      </c>
      <c r="X39">
        <f>HYPERLINK("https://klasma.github.io/Logging_1267/kartor_geotiff/A 42053-2023 georefererad karta.tif", "A 42053-2023")</f>
        <v/>
      </c>
      <c r="Z39">
        <f>HYPERLINK("https://klasma.github.io/Logging_1267/klagomål/A 42053-2023 FSC-klagomål.docx", "A 42053-2023")</f>
        <v/>
      </c>
      <c r="AA39">
        <f>HYPERLINK("https://klasma.github.io/Logging_1267/klagomålsmail/A 42053-2023 FSC-klagomål mail.docx", "A 42053-2023")</f>
        <v/>
      </c>
      <c r="AB39">
        <f>HYPERLINK("https://klasma.github.io/Logging_1267/tillsyn/A 42053-2023 tillsynsbegäran.docx", "A 42053-2023")</f>
        <v/>
      </c>
      <c r="AC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46223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Spillkråka</t>
        </is>
      </c>
      <c r="V40">
        <f>HYPERLINK("https://klasma.github.io/Logging_1267/artfynd/A 22569-2024 artfynd.xlsx", "A 22569-2024")</f>
        <v/>
      </c>
      <c r="W40">
        <f>HYPERLINK("https://klasma.github.io/Logging_1267/kartor/A 22569-2024 karta.png", "A 22569-2024")</f>
        <v/>
      </c>
      <c r="X40">
        <f>HYPERLINK("https://klasma.github.io/Logging_1267/kartor_geotiff/A 22569-2024 georefererad karta.tif", "A 22569-2024")</f>
        <v/>
      </c>
      <c r="Z40">
        <f>HYPERLINK("https://klasma.github.io/Logging_1267/klagomål/A 22569-2024 FSC-klagomål.docx", "A 22569-2024")</f>
        <v/>
      </c>
      <c r="AA40">
        <f>HYPERLINK("https://klasma.github.io/Logging_1267/klagomålsmail/A 22569-2024 FSC-klagomål mail.docx", "A 22569-2024")</f>
        <v/>
      </c>
      <c r="AB40">
        <f>HYPERLINK("https://klasma.github.io/Logging_1267/tillsyn/A 22569-2024 tillsynsbegäran.docx", "A 22569-2024")</f>
        <v/>
      </c>
      <c r="AC40">
        <f>HYPERLINK("https://klasma.github.io/Logging_1267/tillsynsmail/A 22569-2024 tillsynsbegäran mail.docx", "A 22569-2024")</f>
        <v/>
      </c>
      <c r="AD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46223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Småvänderot</t>
        </is>
      </c>
      <c r="V41">
        <f>HYPERLINK("https://klasma.github.io/Logging_1267/artfynd/A 48926-2024 artfynd.xlsx", "A 48926-2024")</f>
        <v/>
      </c>
      <c r="W41">
        <f>HYPERLINK("https://klasma.github.io/Logging_1267/kartor/A 48926-2024 karta.png", "A 48926-2024")</f>
        <v/>
      </c>
      <c r="X41">
        <f>HYPERLINK("https://klasma.github.io/Logging_1267/kartor_geotiff/A 48926-2024 georefererad karta.tif", "A 48926-2024")</f>
        <v/>
      </c>
      <c r="Z41">
        <f>HYPERLINK("https://klasma.github.io/Logging_1267/klagomål/A 48926-2024 FSC-klagomål.docx", "A 48926-2024")</f>
        <v/>
      </c>
      <c r="AA41">
        <f>HYPERLINK("https://klasma.github.io/Logging_1267/klagomålsmail/A 48926-2024 FSC-klagomål mail.docx", "A 48926-2024")</f>
        <v/>
      </c>
      <c r="AB41">
        <f>HYPERLINK("https://klasma.github.io/Logging_1267/tillsyn/A 48926-2024 tillsynsbegäran.docx", "A 48926-2024")</f>
        <v/>
      </c>
      <c r="AC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46223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Småvänderot</t>
        </is>
      </c>
      <c r="V42">
        <f>HYPERLINK("https://klasma.github.io/Logging_1267/artfynd/S 2339-2022 artfynd.xlsx", "S 2339-2022")</f>
        <v/>
      </c>
      <c r="W42">
        <f>HYPERLINK("https://klasma.github.io/Logging_1267/kartor/S 2339-2022 karta.png", "S 2339-2022")</f>
        <v/>
      </c>
      <c r="X42">
        <f>HYPERLINK("https://klasma.github.io/Logging_1267/kartor_geotiff/S 2339-2022 georefererad karta.tif", "S 2339-2022")</f>
        <v/>
      </c>
      <c r="Z42">
        <f>HYPERLINK("https://klasma.github.io/Logging_1267/klagomål/S 2339-2022 FSC-klagomål.docx", "S 2339-2022")</f>
        <v/>
      </c>
      <c r="AA42">
        <f>HYPERLINK("https://klasma.github.io/Logging_1267/klagomålsmail/S 2339-2022 FSC-klagomål mail.docx", "S 2339-2022")</f>
        <v/>
      </c>
      <c r="AB42">
        <f>HYPERLINK("https://klasma.github.io/Logging_1267/tillsyn/S 2339-2022 tillsynsbegäran.docx", "S 2339-2022")</f>
        <v/>
      </c>
      <c r="AC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46223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HYPERLINK("https://klasma.github.io/Logging_1267/artfynd/S 8915-2021 artfynd.xlsx", "S 8915-2021")</f>
        <v/>
      </c>
      <c r="W43">
        <f>HYPERLINK("https://klasma.github.io/Logging_1267/kartor/S 8915-2021 karta.png", "S 8915-2021")</f>
        <v/>
      </c>
      <c r="X43">
        <f>HYPERLINK("https://klasma.github.io/Logging_1267/kartor_geotiff/S 8915-2021 georefererad karta.tif", "S 8915-2021")</f>
        <v/>
      </c>
      <c r="Z43">
        <f>HYPERLINK("https://klasma.github.io/Logging_1267/klagomål/S 8915-2021 FSC-klagomål.docx", "S 8915-2021")</f>
        <v/>
      </c>
      <c r="AA43">
        <f>HYPERLINK("https://klasma.github.io/Logging_1267/klagomålsmail/S 8915-2021 FSC-klagomål mail.docx", "S 8915-2021")</f>
        <v/>
      </c>
      <c r="AB43">
        <f>HYPERLINK("https://klasma.github.io/Logging_1267/tillsyn/S 8915-2021 tillsynsbegäran.docx", "S 8915-2021")</f>
        <v/>
      </c>
      <c r="AC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46223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Grönvit nattviol</t>
        </is>
      </c>
      <c r="V44">
        <f>HYPERLINK("https://klasma.github.io/Logging_1267/artfynd/S 5973-2022 artfynd.xlsx", "S 5973-2022")</f>
        <v/>
      </c>
      <c r="W44">
        <f>HYPERLINK("https://klasma.github.io/Logging_1267/kartor/S 5973-2022 karta.png", "S 5973-2022")</f>
        <v/>
      </c>
      <c r="X44">
        <f>HYPERLINK("https://klasma.github.io/Logging_1267/kartor_geotiff/S 5973-2022 georefererad karta.tif", "S 5973-2022")</f>
        <v/>
      </c>
      <c r="Z44">
        <f>HYPERLINK("https://klasma.github.io/Logging_1267/klagomål/S 5973-2022 FSC-klagomål.docx", "S 5973-2022")</f>
        <v/>
      </c>
      <c r="AA44">
        <f>HYPERLINK("https://klasma.github.io/Logging_1267/klagomålsmail/S 5973-2022 FSC-klagomål mail.docx", "S 5973-2022")</f>
        <v/>
      </c>
      <c r="AB44">
        <f>HYPERLINK("https://klasma.github.io/Logging_1267/tillsyn/S 5973-2022 tillsynsbegäran.docx", "S 5973-2022")</f>
        <v/>
      </c>
      <c r="AC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46223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Skogsbräsma</t>
        </is>
      </c>
      <c r="V45">
        <f>HYPERLINK("https://klasma.github.io/Logging_1267/artfynd/S 309-2025 artfynd.xlsx", "S 309-2025")</f>
        <v/>
      </c>
      <c r="W45">
        <f>HYPERLINK("https://klasma.github.io/Logging_1267/kartor/S 309-2025 karta.png", "S 309-2025")</f>
        <v/>
      </c>
      <c r="X45">
        <f>HYPERLINK("https://klasma.github.io/Logging_1267/kartor_geotiff/S 309-2025 georefererad karta.tif", "S 309-2025")</f>
        <v/>
      </c>
      <c r="Z45">
        <f>HYPERLINK("https://klasma.github.io/Logging_1267/klagomål/S 309-2025 FSC-klagomål.docx", "S 309-2025")</f>
        <v/>
      </c>
      <c r="AA45">
        <f>HYPERLINK("https://klasma.github.io/Logging_1267/klagomålsmail/S 309-2025 FSC-klagomål mail.docx", "S 309-2025")</f>
        <v/>
      </c>
      <c r="AB45">
        <f>HYPERLINK("https://klasma.github.io/Logging_1267/tillsyn/S 309-2025 tillsynsbegäran.docx", "S 309-2025")</f>
        <v/>
      </c>
      <c r="AC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46223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Gullpudra</t>
        </is>
      </c>
      <c r="V46">
        <f>HYPERLINK("https://klasma.github.io/Logging_1267/artfynd/S 791-2025 artfynd.xlsx", "S 791-2025")</f>
        <v/>
      </c>
      <c r="W46">
        <f>HYPERLINK("https://klasma.github.io/Logging_1267/kartor/S 791-2025 karta.png", "S 791-2025")</f>
        <v/>
      </c>
      <c r="X46">
        <f>HYPERLINK("https://klasma.github.io/Logging_1267/kartor_geotiff/S 791-2025 georefererad karta.tif", "S 791-2025")</f>
        <v/>
      </c>
      <c r="Z46">
        <f>HYPERLINK("https://klasma.github.io/Logging_1267/klagomål/S 791-2025 FSC-klagomål.docx", "S 791-2025")</f>
        <v/>
      </c>
      <c r="AA46">
        <f>HYPERLINK("https://klasma.github.io/Logging_1267/klagomålsmail/S 791-2025 FSC-klagomål mail.docx", "S 791-2025")</f>
        <v/>
      </c>
      <c r="AB46">
        <f>HYPERLINK("https://klasma.github.io/Logging_1267/tillsyn/S 791-2025 tillsynsbegäran.docx", "S 791-2025")</f>
        <v/>
      </c>
      <c r="AC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46223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Småvänderot</t>
        </is>
      </c>
      <c r="V47">
        <f>HYPERLINK("https://klasma.github.io/Logging_1267/artfynd/S 4216-2023 artfynd.xlsx", "S 4216-2023")</f>
        <v/>
      </c>
      <c r="W47">
        <f>HYPERLINK("https://klasma.github.io/Logging_1267/kartor/S 4216-2023 karta.png", "S 4216-2023")</f>
        <v/>
      </c>
      <c r="X47">
        <f>HYPERLINK("https://klasma.github.io/Logging_1267/kartor_geotiff/S 4216-2023 georefererad karta.tif", "S 4216-2023")</f>
        <v/>
      </c>
      <c r="Z47">
        <f>HYPERLINK("https://klasma.github.io/Logging_1267/klagomål/S 4216-2023 FSC-klagomål.docx", "S 4216-2023")</f>
        <v/>
      </c>
      <c r="AA47">
        <f>HYPERLINK("https://klasma.github.io/Logging_1267/klagomålsmail/S 4216-2023 FSC-klagomål mail.docx", "S 4216-2023")</f>
        <v/>
      </c>
      <c r="AB47">
        <f>HYPERLINK("https://klasma.github.io/Logging_1267/tillsyn/S 4216-2023 tillsynsbegäran.docx", "S 4216-2023")</f>
        <v/>
      </c>
      <c r="AC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46223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44396</v>
      </c>
      <c r="E49" s="1" t="n">
        <v>46223</v>
      </c>
      <c r="F49" t="inlineStr">
        <is>
          <t>SKÅNE LÄN</t>
        </is>
      </c>
      <c r="G49" t="inlineStr">
        <is>
          <t>HÖÖR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46223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46223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46223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46223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46223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46223</v>
      </c>
      <c r="F55" t="inlineStr">
        <is>
          <t>SKÅNE LÄN</t>
        </is>
      </c>
      <c r="G55" t="inlineStr">
        <is>
          <t>HÖÖR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46223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46223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46223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37913-2021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44403</v>
      </c>
      <c r="E59" s="1" t="n">
        <v>46223</v>
      </c>
      <c r="F59" t="inlineStr">
        <is>
          <t>SKÅNE LÄN</t>
        </is>
      </c>
      <c r="G59" t="inlineStr">
        <is>
          <t>HÖÖR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46223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46223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45698</v>
      </c>
      <c r="E62" s="1" t="n">
        <v>46223</v>
      </c>
      <c r="F62" t="inlineStr">
        <is>
          <t>SKÅNE LÄN</t>
        </is>
      </c>
      <c r="G62" t="inlineStr">
        <is>
          <t>HÖÖR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15905-2024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46223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46223</v>
      </c>
      <c r="F64" t="inlineStr">
        <is>
          <t>SKÅNE LÄN</t>
        </is>
      </c>
      <c r="G64" t="inlineStr">
        <is>
          <t>HÖÖR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25934-2022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46223</v>
      </c>
      <c r="F65" t="inlineStr">
        <is>
          <t>SKÅNE LÄN</t>
        </is>
      </c>
      <c r="G65" t="inlineStr">
        <is>
          <t>HÖÖR</t>
        </is>
      </c>
      <c r="H65" t="inlineStr">
        <is>
          <t>Övriga statliga verk och myndigheter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46223</v>
      </c>
      <c r="F66" t="inlineStr">
        <is>
          <t>SKÅNE LÄN</t>
        </is>
      </c>
      <c r="G66" t="inlineStr">
        <is>
          <t>HÖÖR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46223</v>
      </c>
      <c r="F67" t="inlineStr">
        <is>
          <t>SKÅNE LÄN</t>
        </is>
      </c>
      <c r="G67" t="inlineStr">
        <is>
          <t>HÖÖR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56596-2022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46223</v>
      </c>
      <c r="F68" t="inlineStr">
        <is>
          <t>SKÅNE LÄN</t>
        </is>
      </c>
      <c r="G68" t="inlineStr">
        <is>
          <t>HÖÖR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45342</v>
      </c>
      <c r="E69" s="1" t="n">
        <v>46223</v>
      </c>
      <c r="F69" t="inlineStr">
        <is>
          <t>SKÅNE LÄN</t>
        </is>
      </c>
      <c r="G69" t="inlineStr">
        <is>
          <t>HÖÖR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17723-2023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46223</v>
      </c>
      <c r="F70" t="inlineStr">
        <is>
          <t>SKÅNE LÄN</t>
        </is>
      </c>
      <c r="G70" t="inlineStr">
        <is>
          <t>HÖÖR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43891-2022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44838</v>
      </c>
      <c r="E71" s="1" t="n">
        <v>46223</v>
      </c>
      <c r="F71" t="inlineStr">
        <is>
          <t>SKÅNE LÄN</t>
        </is>
      </c>
      <c r="G71" t="inlineStr">
        <is>
          <t>HÖÖR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14849-2024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45398</v>
      </c>
      <c r="E72" s="1" t="n">
        <v>46223</v>
      </c>
      <c r="F72" t="inlineStr">
        <is>
          <t>SKÅNE LÄN</t>
        </is>
      </c>
      <c r="G72" t="inlineStr">
        <is>
          <t>HÖÖR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44890</v>
      </c>
      <c r="E73" s="1" t="n">
        <v>46223</v>
      </c>
      <c r="F73" t="inlineStr">
        <is>
          <t>SKÅNE LÄN</t>
        </is>
      </c>
      <c r="G73" t="inlineStr">
        <is>
          <t>HÖÖR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15657-2025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46223</v>
      </c>
      <c r="F74" t="inlineStr">
        <is>
          <t>SKÅNE LÄN</t>
        </is>
      </c>
      <c r="G74" t="inlineStr">
        <is>
          <t>HÖÖR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28332-2024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46223</v>
      </c>
      <c r="F75" t="inlineStr">
        <is>
          <t>SKÅNE LÄN</t>
        </is>
      </c>
      <c r="G75" t="inlineStr">
        <is>
          <t>HÖÖR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28352-2024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46223</v>
      </c>
      <c r="F76" t="inlineStr">
        <is>
          <t>SKÅNE LÄN</t>
        </is>
      </c>
      <c r="G76" t="inlineStr">
        <is>
          <t>HÖÖR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45323</v>
      </c>
      <c r="E77" s="1" t="n">
        <v>46223</v>
      </c>
      <c r="F77" t="inlineStr">
        <is>
          <t>SKÅNE LÄN</t>
        </is>
      </c>
      <c r="G77" t="inlineStr">
        <is>
          <t>HÖÖR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46223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43871-2022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46223</v>
      </c>
      <c r="F79" t="inlineStr">
        <is>
          <t>SKÅNE LÄN</t>
        </is>
      </c>
      <c r="G79" t="inlineStr">
        <is>
          <t>HÖÖR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43884-2022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46223</v>
      </c>
      <c r="F80" t="inlineStr">
        <is>
          <t>SKÅNE LÄN</t>
        </is>
      </c>
      <c r="G80" t="inlineStr">
        <is>
          <t>HÖÖR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46223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53460-2022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46223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31092-2023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45113</v>
      </c>
      <c r="E83" s="1" t="n">
        <v>46223</v>
      </c>
      <c r="F83" t="inlineStr">
        <is>
          <t>SKÅNE LÄN</t>
        </is>
      </c>
      <c r="G83" t="inlineStr">
        <is>
          <t>HÖÖR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46223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28189-2024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46223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26592-2025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45807</v>
      </c>
      <c r="E86" s="1" t="n">
        <v>46223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46223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46223</v>
      </c>
      <c r="F88" t="inlineStr">
        <is>
          <t>SKÅNE LÄN</t>
        </is>
      </c>
      <c r="G88" t="inlineStr">
        <is>
          <t>HÖÖR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46223</v>
      </c>
      <c r="F89" t="inlineStr">
        <is>
          <t>SKÅNE LÄN</t>
        </is>
      </c>
      <c r="G89" t="inlineStr">
        <is>
          <t>HÖÖR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46223</v>
      </c>
      <c r="F90" t="inlineStr">
        <is>
          <t>SKÅNE LÄN</t>
        </is>
      </c>
      <c r="G90" t="inlineStr">
        <is>
          <t>HÖÖR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46223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40090-2025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46223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7306-2023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44970</v>
      </c>
      <c r="E93" s="1" t="n">
        <v>46223</v>
      </c>
      <c r="F93" t="inlineStr">
        <is>
          <t>SKÅNE LÄN</t>
        </is>
      </c>
      <c r="G93" t="inlineStr">
        <is>
          <t>HÖÖR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46223</v>
      </c>
      <c r="F94" t="inlineStr">
        <is>
          <t>SKÅNE LÄN</t>
        </is>
      </c>
      <c r="G94" t="inlineStr">
        <is>
          <t>HÖÖR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46223</v>
      </c>
      <c r="F95" t="inlineStr">
        <is>
          <t>SKÅNE LÄN</t>
        </is>
      </c>
      <c r="G95" t="inlineStr">
        <is>
          <t>HÖÖR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46223</v>
      </c>
      <c r="F96" t="inlineStr">
        <is>
          <t>SKÅNE LÄN</t>
        </is>
      </c>
      <c r="G96" t="inlineStr">
        <is>
          <t>HÖÖR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46777-2024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46223</v>
      </c>
      <c r="F97" t="inlineStr">
        <is>
          <t>SKÅNE LÄN</t>
        </is>
      </c>
      <c r="G97" t="inlineStr">
        <is>
          <t>HÖÖR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16663-2022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46223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46223</v>
      </c>
      <c r="F99" t="inlineStr">
        <is>
          <t>SKÅNE LÄN</t>
        </is>
      </c>
      <c r="G99" t="inlineStr">
        <is>
          <t>HÖÖR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46223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46223</v>
      </c>
      <c r="F101" t="inlineStr">
        <is>
          <t>SKÅNE LÄN</t>
        </is>
      </c>
      <c r="G101" t="inlineStr">
        <is>
          <t>HÖÖR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46223</v>
      </c>
      <c r="F102" t="inlineStr">
        <is>
          <t>SKÅNE LÄN</t>
        </is>
      </c>
      <c r="G102" t="inlineStr">
        <is>
          <t>HÖÖR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47222-2022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46223</v>
      </c>
      <c r="F103" t="inlineStr">
        <is>
          <t>SKÅNE LÄN</t>
        </is>
      </c>
      <c r="G103" t="inlineStr">
        <is>
          <t>HÖÖR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46223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46223</v>
      </c>
      <c r="F105" t="inlineStr">
        <is>
          <t>SKÅNE LÄN</t>
        </is>
      </c>
      <c r="G105" t="inlineStr">
        <is>
          <t>HÖÖR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46223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46223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53848-2023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46223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46223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12855-2023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46223</v>
      </c>
      <c r="F110" t="inlineStr">
        <is>
          <t>SKÅNE LÄN</t>
        </is>
      </c>
      <c r="G110" t="inlineStr">
        <is>
          <t>HÖÖR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46223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46223</v>
      </c>
      <c r="F112" t="inlineStr">
        <is>
          <t>SKÅNE LÄN</t>
        </is>
      </c>
      <c r="G112" t="inlineStr">
        <is>
          <t>HÖÖR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8290-2026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46064</v>
      </c>
      <c r="E113" s="1" t="n">
        <v>46223</v>
      </c>
      <c r="F113" t="inlineStr">
        <is>
          <t>SKÅNE LÄN</t>
        </is>
      </c>
      <c r="G113" t="inlineStr">
        <is>
          <t>HÖÖR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8296-2026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46223</v>
      </c>
      <c r="F114" t="inlineStr">
        <is>
          <t>SKÅNE LÄN</t>
        </is>
      </c>
      <c r="G114" t="inlineStr">
        <is>
          <t>HÖÖR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45987</v>
      </c>
      <c r="E115" s="1" t="n">
        <v>46223</v>
      </c>
      <c r="F115" t="inlineStr">
        <is>
          <t>SKÅNE LÄN</t>
        </is>
      </c>
      <c r="G115" t="inlineStr">
        <is>
          <t>HÖÖR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46223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16969-2025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46223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46223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46223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46223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46223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46223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65200-2021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44515</v>
      </c>
      <c r="E123" s="1" t="n">
        <v>46223</v>
      </c>
      <c r="F123" t="inlineStr">
        <is>
          <t>SKÅNE LÄN</t>
        </is>
      </c>
      <c r="G123" t="inlineStr">
        <is>
          <t>HÖÖR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46223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16110-2024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45406</v>
      </c>
      <c r="E125" s="1" t="n">
        <v>46223</v>
      </c>
      <c r="F125" t="inlineStr">
        <is>
          <t>SKÅNE LÄN</t>
        </is>
      </c>
      <c r="G125" t="inlineStr">
        <is>
          <t>HÖÖR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46223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46223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46223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46223</v>
      </c>
      <c r="F129" t="inlineStr">
        <is>
          <t>SKÅNE LÄN</t>
        </is>
      </c>
      <c r="G129" t="inlineStr">
        <is>
          <t>HÖÖR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26764-2023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46223</v>
      </c>
      <c r="F130" t="inlineStr">
        <is>
          <t>SKÅNE LÄN</t>
        </is>
      </c>
      <c r="G130" t="inlineStr">
        <is>
          <t>HÖÖR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30087-2023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46223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46223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16434-2025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46223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46223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19633-2023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46223</v>
      </c>
      <c r="F135" t="inlineStr">
        <is>
          <t>SKÅNE LÄN</t>
        </is>
      </c>
      <c r="G135" t="inlineStr">
        <is>
          <t>HÖÖR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46223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46223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46223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46223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46223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46223</v>
      </c>
      <c r="F141" t="inlineStr">
        <is>
          <t>SKÅNE LÄN</t>
        </is>
      </c>
      <c r="G141" t="inlineStr">
        <is>
          <t>HÖÖR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46223</v>
      </c>
      <c r="F142" t="inlineStr">
        <is>
          <t>SKÅNE LÄN</t>
        </is>
      </c>
      <c r="G142" t="inlineStr">
        <is>
          <t>HÖÖR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46223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46223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46223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46128</v>
      </c>
      <c r="E146" s="1" t="n">
        <v>46223</v>
      </c>
      <c r="F146" t="inlineStr">
        <is>
          <t>SKÅNE LÄN</t>
        </is>
      </c>
      <c r="G146" t="inlineStr">
        <is>
          <t>HÖÖR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7782-2022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46223</v>
      </c>
      <c r="F147" t="inlineStr">
        <is>
          <t>SKÅNE LÄN</t>
        </is>
      </c>
      <c r="G147" t="inlineStr">
        <is>
          <t>HÖÖR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46223</v>
      </c>
      <c r="F148" t="inlineStr">
        <is>
          <t>SKÅNE LÄN</t>
        </is>
      </c>
      <c r="G148" t="inlineStr">
        <is>
          <t>HÖÖR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45318</v>
      </c>
      <c r="E149" s="1" t="n">
        <v>46223</v>
      </c>
      <c r="F149" t="inlineStr">
        <is>
          <t>SKÅNE LÄN</t>
        </is>
      </c>
      <c r="G149" t="inlineStr">
        <is>
          <t>HÖÖR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46223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17693-2026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46223</v>
      </c>
      <c r="F151" t="inlineStr">
        <is>
          <t>SKÅNE LÄN</t>
        </is>
      </c>
      <c r="G151" t="inlineStr">
        <is>
          <t>HÖÖR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10007-2022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44621</v>
      </c>
      <c r="E152" s="1" t="n">
        <v>46223</v>
      </c>
      <c r="F152" t="inlineStr">
        <is>
          <t>SKÅNE LÄN</t>
        </is>
      </c>
      <c r="G152" t="inlineStr">
        <is>
          <t>HÖÖR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20329-2026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46223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20329-2026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46223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46223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46223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8305-2026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46223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46223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46223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46223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12833-2023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46223</v>
      </c>
      <c r="F161" t="inlineStr">
        <is>
          <t>SKÅNE LÄN</t>
        </is>
      </c>
      <c r="G161" t="inlineStr">
        <is>
          <t>HÖÖR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46223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46223</v>
      </c>
      <c r="F163" t="inlineStr">
        <is>
          <t>SKÅNE LÄN</t>
        </is>
      </c>
      <c r="G163" t="inlineStr">
        <is>
          <t>HÖÖR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46223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46223</v>
      </c>
      <c r="F165" t="inlineStr">
        <is>
          <t>SKÅNE LÄN</t>
        </is>
      </c>
      <c r="G165" t="inlineStr">
        <is>
          <t>HÖÖR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12025-2025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46223</v>
      </c>
      <c r="F166" t="inlineStr">
        <is>
          <t>SKÅNE LÄN</t>
        </is>
      </c>
      <c r="G166" t="inlineStr">
        <is>
          <t>HÖÖR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44728-2024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46223</v>
      </c>
      <c r="F167" t="inlineStr">
        <is>
          <t>SKÅNE LÄN</t>
        </is>
      </c>
      <c r="G167" t="inlineStr">
        <is>
          <t>HÖÖR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46223</v>
      </c>
      <c r="F168" t="inlineStr">
        <is>
          <t>SKÅNE LÄN</t>
        </is>
      </c>
      <c r="G168" t="inlineStr">
        <is>
          <t>HÖÖR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46223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46223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16665-2022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46223</v>
      </c>
      <c r="F171" t="inlineStr">
        <is>
          <t>SKÅNE LÄN</t>
        </is>
      </c>
      <c r="G171" t="inlineStr">
        <is>
          <t>HÖÖR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46223</v>
      </c>
      <c r="F172" t="inlineStr">
        <is>
          <t>SKÅNE LÄN</t>
        </is>
      </c>
      <c r="G172" t="inlineStr">
        <is>
          <t>HÖÖR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46223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46223</v>
      </c>
      <c r="F174" t="inlineStr">
        <is>
          <t>SKÅNE LÄN</t>
        </is>
      </c>
      <c r="G174" t="inlineStr">
        <is>
          <t>HÖÖR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46223</v>
      </c>
      <c r="F175" t="inlineStr">
        <is>
          <t>SKÅNE LÄN</t>
        </is>
      </c>
      <c r="G175" t="inlineStr">
        <is>
          <t>HÖÖR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46223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46223</v>
      </c>
      <c r="F177" t="inlineStr">
        <is>
          <t>SKÅNE LÄN</t>
        </is>
      </c>
      <c r="G177" t="inlineStr">
        <is>
          <t>HÖÖR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45349-2023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46223</v>
      </c>
      <c r="F178" t="inlineStr">
        <is>
          <t>SKÅNE LÄN</t>
        </is>
      </c>
      <c r="G178" t="inlineStr">
        <is>
          <t>HÖÖR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44960-2023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46223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46223</v>
      </c>
      <c r="F180" t="inlineStr">
        <is>
          <t>SKÅNE LÄN</t>
        </is>
      </c>
      <c r="G180" t="inlineStr">
        <is>
          <t>HÖÖR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28849-2026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46223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46223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46223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46223</v>
      </c>
      <c r="F184" t="inlineStr">
        <is>
          <t>SKÅNE LÄN</t>
        </is>
      </c>
      <c r="G184" t="inlineStr">
        <is>
          <t>HÖÖR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28597-2026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46223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46223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46223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22964-2026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46223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46223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46223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46223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46223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46223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26033-2022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44734</v>
      </c>
      <c r="E194" s="1" t="n">
        <v>46223</v>
      </c>
      <c r="F194" t="inlineStr">
        <is>
          <t>SKÅNE LÄN</t>
        </is>
      </c>
      <c r="G194" t="inlineStr">
        <is>
          <t>HÖÖR</t>
        </is>
      </c>
      <c r="H194" t="inlineStr">
        <is>
          <t>Övriga statliga verk och myndigheter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46223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46223</v>
      </c>
      <c r="F196" t="inlineStr">
        <is>
          <t>SKÅNE LÄN</t>
        </is>
      </c>
      <c r="G196" t="inlineStr">
        <is>
          <t>HÖÖR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30339-2026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46223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46223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20512-2023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46223</v>
      </c>
      <c r="F199" t="inlineStr">
        <is>
          <t>SKÅNE LÄN</t>
        </is>
      </c>
      <c r="G199" t="inlineStr">
        <is>
          <t>HÖÖR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46223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51235-2025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46223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35801-2024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46223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46223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46223</v>
      </c>
      <c r="F204" t="inlineStr">
        <is>
          <t>SKÅNE LÄN</t>
        </is>
      </c>
      <c r="G204" t="inlineStr">
        <is>
          <t>HÖÖR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63268-2023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46223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46223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46223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46223</v>
      </c>
      <c r="F208" t="inlineStr">
        <is>
          <t>SKÅNE LÄN</t>
        </is>
      </c>
      <c r="G208" t="inlineStr">
        <is>
          <t>HÖÖR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46223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46223</v>
      </c>
      <c r="F210" t="inlineStr">
        <is>
          <t>SKÅNE LÄN</t>
        </is>
      </c>
      <c r="G210" t="inlineStr">
        <is>
          <t>HÖÖR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46223</v>
      </c>
      <c r="F211" t="inlineStr">
        <is>
          <t>SKÅNE LÄN</t>
        </is>
      </c>
      <c r="G211" t="inlineStr">
        <is>
          <t>HÖÖR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26757-2023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46223</v>
      </c>
      <c r="F212" t="inlineStr">
        <is>
          <t>SKÅNE LÄN</t>
        </is>
      </c>
      <c r="G212" t="inlineStr">
        <is>
          <t>HÖÖR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46223</v>
      </c>
      <c r="F213" t="inlineStr">
        <is>
          <t>SKÅNE LÄN</t>
        </is>
      </c>
      <c r="G213" t="inlineStr">
        <is>
          <t>HÖÖR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61377-2024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46223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46223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28385-2024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46223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73544-2021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46223</v>
      </c>
      <c r="F217" t="inlineStr">
        <is>
          <t>SKÅNE LÄN</t>
        </is>
      </c>
      <c r="G217" t="inlineStr">
        <is>
          <t>HÖÖR</t>
        </is>
      </c>
      <c r="H217" t="inlineStr">
        <is>
          <t>Övriga statliga verk och myndigheter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43469-2024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46223</v>
      </c>
      <c r="F218" t="inlineStr">
        <is>
          <t>SKÅNE LÄN</t>
        </is>
      </c>
      <c r="G218" t="inlineStr">
        <is>
          <t>HÖÖR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46223</v>
      </c>
      <c r="F219" t="inlineStr">
        <is>
          <t>SKÅNE LÄN</t>
        </is>
      </c>
      <c r="G219" t="inlineStr">
        <is>
          <t>HÖÖR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46223</v>
      </c>
      <c r="F220" t="inlineStr">
        <is>
          <t>SKÅNE LÄN</t>
        </is>
      </c>
      <c r="G220" t="inlineStr">
        <is>
          <t>HÖÖR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46223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61019-2024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45645</v>
      </c>
      <c r="E222" s="1" t="n">
        <v>46223</v>
      </c>
      <c r="F222" t="inlineStr">
        <is>
          <t>SKÅNE LÄN</t>
        </is>
      </c>
      <c r="G222" t="inlineStr">
        <is>
          <t>HÖÖR</t>
        </is>
      </c>
      <c r="H222" t="inlineStr">
        <is>
          <t>Kommuner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46223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50250-2024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46223</v>
      </c>
      <c r="F224" t="inlineStr">
        <is>
          <t>SKÅNE LÄN</t>
        </is>
      </c>
      <c r="G224" t="inlineStr">
        <is>
          <t>HÖÖR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46223</v>
      </c>
      <c r="F225" t="inlineStr">
        <is>
          <t>SKÅNE LÄN</t>
        </is>
      </c>
      <c r="G225" t="inlineStr">
        <is>
          <t>HÖÖR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46223</v>
      </c>
      <c r="F226" t="inlineStr">
        <is>
          <t>SKÅNE LÄN</t>
        </is>
      </c>
      <c r="G226" t="inlineStr">
        <is>
          <t>HÖÖR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46223</v>
      </c>
      <c r="F227" t="inlineStr">
        <is>
          <t>SKÅNE LÄN</t>
        </is>
      </c>
      <c r="G227" t="inlineStr">
        <is>
          <t>HÖÖR</t>
        </is>
      </c>
      <c r="I227" t="n">
        <v>28.4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60425-2022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44911</v>
      </c>
      <c r="E228" s="1" t="n">
        <v>46223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61087-2022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44915</v>
      </c>
      <c r="E229" s="1" t="n">
        <v>46223</v>
      </c>
      <c r="F229" t="inlineStr">
        <is>
          <t>SKÅNE LÄN</t>
        </is>
      </c>
      <c r="G229" t="inlineStr">
        <is>
          <t>HÖÖR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51131-2021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46223</v>
      </c>
      <c r="F230" t="inlineStr">
        <is>
          <t>SKÅNE LÄN</t>
        </is>
      </c>
      <c r="G230" t="inlineStr">
        <is>
          <t>HÖÖR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46223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46223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46223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46223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46223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46223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46223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46223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46223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46223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46223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46223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46223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46223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2026-07-20T01:47:07Z</dcterms:created>
  <dcterms:modified xmlns:dcterms="http://purl.org/dc/terms/" xmlns:xsi="http://www.w3.org/2001/XMLSchema-instance" xsi:type="dcterms:W3CDTF">2026-07-20T01:47:07Z</dcterms:modified>
</cp:coreProperties>
</file>