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2787-2024</t>
        </is>
      </c>
      <c r="B2" s="1" t="n">
        <v>45314</v>
      </c>
      <c r="C2" s="1" t="n">
        <v>45581</v>
      </c>
      <c r="D2" t="inlineStr">
        <is>
          <t>SKÅNE LÄN</t>
        </is>
      </c>
      <c r="E2" t="inlineStr">
        <is>
          <t>HÖÖR</t>
        </is>
      </c>
      <c r="G2" t="n">
        <v>0.8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Större brunfladdermus
Vattenfladdermus</t>
        </is>
      </c>
      <c r="S2">
        <f>HYPERLINK("https://klasma.github.io/Logging_1267/artfynd/A 2787-2024 artfynd.xlsx", "A 2787-2024")</f>
        <v/>
      </c>
      <c r="T2">
        <f>HYPERLINK("https://klasma.github.io/Logging_1267/kartor/A 2787-2024 karta.png", "A 2787-2024")</f>
        <v/>
      </c>
      <c r="V2">
        <f>HYPERLINK("https://klasma.github.io/Logging_1267/klagomål/A 2787-2024 FSC-klagomål.docx", "A 2787-2024")</f>
        <v/>
      </c>
      <c r="W2">
        <f>HYPERLINK("https://klasma.github.io/Logging_1267/klagomålsmail/A 2787-2024 FSC-klagomål mail.docx", "A 2787-2024")</f>
        <v/>
      </c>
      <c r="X2">
        <f>HYPERLINK("https://klasma.github.io/Logging_1267/tillsyn/A 2787-2024 tillsynsbegäran.docx", "A 2787-2024")</f>
        <v/>
      </c>
      <c r="Y2">
        <f>HYPERLINK("https://klasma.github.io/Logging_1267/tillsynsmail/A 2787-2024 tillsynsbegäran mail.docx", "A 2787-2024")</f>
        <v/>
      </c>
    </row>
    <row r="3" ht="15" customHeight="1">
      <c r="A3" t="inlineStr">
        <is>
          <t>A 27902-2023</t>
        </is>
      </c>
      <c r="B3" s="1" t="n">
        <v>45098</v>
      </c>
      <c r="C3" s="1" t="n">
        <v>45581</v>
      </c>
      <c r="D3" t="inlineStr">
        <is>
          <t>SKÅNE LÄN</t>
        </is>
      </c>
      <c r="E3" t="inlineStr">
        <is>
          <t>HÖÖR</t>
        </is>
      </c>
      <c r="G3" t="n">
        <v>10.3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Småvänderot
Granbräken</t>
        </is>
      </c>
      <c r="S3">
        <f>HYPERLINK("https://klasma.github.io/Logging_1267/artfynd/A 27902-2023 artfynd.xlsx", "A 27902-2023")</f>
        <v/>
      </c>
      <c r="T3">
        <f>HYPERLINK("https://klasma.github.io/Logging_1267/kartor/A 27902-2023 karta.png", "A 27902-2023")</f>
        <v/>
      </c>
      <c r="V3">
        <f>HYPERLINK("https://klasma.github.io/Logging_1267/klagomål/A 27902-2023 FSC-klagomål.docx", "A 27902-2023")</f>
        <v/>
      </c>
      <c r="W3">
        <f>HYPERLINK("https://klasma.github.io/Logging_1267/klagomålsmail/A 27902-2023 FSC-klagomål mail.docx", "A 27902-2023")</f>
        <v/>
      </c>
      <c r="X3">
        <f>HYPERLINK("https://klasma.github.io/Logging_1267/tillsyn/A 27902-2023 tillsynsbegäran.docx", "A 27902-2023")</f>
        <v/>
      </c>
      <c r="Y3">
        <f>HYPERLINK("https://klasma.github.io/Logging_1267/tillsynsmail/A 27902-2023 tillsynsbegäran mail.docx", "A 27902-2023")</f>
        <v/>
      </c>
    </row>
    <row r="4" ht="15" customHeight="1">
      <c r="A4" t="inlineStr">
        <is>
          <t>A 24278-2023</t>
        </is>
      </c>
      <c r="B4" s="1" t="n">
        <v>45079</v>
      </c>
      <c r="C4" s="1" t="n">
        <v>45581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Trana</t>
        </is>
      </c>
      <c r="S4">
        <f>HYPERLINK("https://klasma.github.io/Logging_1267/artfynd/A 24278-2023 artfynd.xlsx", "A 24278-2023")</f>
        <v/>
      </c>
      <c r="T4">
        <f>HYPERLINK("https://klasma.github.io/Logging_1267/kartor/A 24278-2023 karta.png", "A 24278-2023")</f>
        <v/>
      </c>
      <c r="V4">
        <f>HYPERLINK("https://klasma.github.io/Logging_1267/klagomål/A 24278-2023 FSC-klagomål.docx", "A 24278-2023")</f>
        <v/>
      </c>
      <c r="W4">
        <f>HYPERLINK("https://klasma.github.io/Logging_1267/klagomålsmail/A 24278-2023 FSC-klagomål mail.docx", "A 24278-2023")</f>
        <v/>
      </c>
      <c r="X4">
        <f>HYPERLINK("https://klasma.github.io/Logging_1267/tillsyn/A 24278-2023 tillsynsbegäran.docx", "A 24278-2023")</f>
        <v/>
      </c>
      <c r="Y4">
        <f>HYPERLINK("https://klasma.github.io/Logging_1267/tillsynsmail/A 24278-2023 tillsynsbegäran mail.docx", "A 24278-2023")</f>
        <v/>
      </c>
      <c r="Z4">
        <f>HYPERLINK("https://klasma.github.io/Logging_1267/fåglar/A 24278-2023 prioriterade fågelarter.docx", "A 24278-2023")</f>
        <v/>
      </c>
    </row>
    <row r="5" ht="15" customHeight="1">
      <c r="A5" t="inlineStr">
        <is>
          <t>A 7616-2024</t>
        </is>
      </c>
      <c r="B5" s="1" t="n">
        <v>45348</v>
      </c>
      <c r="C5" s="1" t="n">
        <v>45581</v>
      </c>
      <c r="D5" t="inlineStr">
        <is>
          <t>SKÅNE LÄN</t>
        </is>
      </c>
      <c r="E5" t="inlineStr">
        <is>
          <t>HÖÖR</t>
        </is>
      </c>
      <c r="G5" t="n">
        <v>4.2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Flenörtskapuschongfly
Åkerkulla</t>
        </is>
      </c>
      <c r="S5">
        <f>HYPERLINK("https://klasma.github.io/Logging_1267/artfynd/A 7616-2024 artfynd.xlsx", "A 7616-2024")</f>
        <v/>
      </c>
      <c r="T5">
        <f>HYPERLINK("https://klasma.github.io/Logging_1267/kartor/A 7616-2024 karta.png", "A 7616-2024")</f>
        <v/>
      </c>
      <c r="V5">
        <f>HYPERLINK("https://klasma.github.io/Logging_1267/klagomål/A 7616-2024 FSC-klagomål.docx", "A 7616-2024")</f>
        <v/>
      </c>
      <c r="W5">
        <f>HYPERLINK("https://klasma.github.io/Logging_1267/klagomålsmail/A 7616-2024 FSC-klagomål mail.docx", "A 7616-2024")</f>
        <v/>
      </c>
      <c r="X5">
        <f>HYPERLINK("https://klasma.github.io/Logging_1267/tillsyn/A 7616-2024 tillsynsbegäran.docx", "A 7616-2024")</f>
        <v/>
      </c>
      <c r="Y5">
        <f>HYPERLINK("https://klasma.github.io/Logging_1267/tillsynsmail/A 7616-2024 tillsynsbegäran mail.docx", "A 7616-2024")</f>
        <v/>
      </c>
    </row>
    <row r="6" ht="15" customHeight="1">
      <c r="A6" t="inlineStr">
        <is>
          <t>A 15070-2021</t>
        </is>
      </c>
      <c r="B6" s="1" t="n">
        <v>44281</v>
      </c>
      <c r="C6" s="1" t="n">
        <v>45581</v>
      </c>
      <c r="D6" t="inlineStr">
        <is>
          <t>SKÅNE LÄN</t>
        </is>
      </c>
      <c r="E6" t="inlineStr">
        <is>
          <t>HÖÖR</t>
        </is>
      </c>
      <c r="G6" t="n">
        <v>1.5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Korallticka</t>
        </is>
      </c>
      <c r="S6">
        <f>HYPERLINK("https://klasma.github.io/Logging_1267/artfynd/A 15070-2021 artfynd.xlsx", "A 15070-2021")</f>
        <v/>
      </c>
      <c r="T6">
        <f>HYPERLINK("https://klasma.github.io/Logging_1267/kartor/A 15070-2021 karta.png", "A 15070-2021")</f>
        <v/>
      </c>
      <c r="V6">
        <f>HYPERLINK("https://klasma.github.io/Logging_1267/klagomål/A 15070-2021 FSC-klagomål.docx", "A 15070-2021")</f>
        <v/>
      </c>
      <c r="W6">
        <f>HYPERLINK("https://klasma.github.io/Logging_1267/klagomålsmail/A 15070-2021 FSC-klagomål mail.docx", "A 15070-2021")</f>
        <v/>
      </c>
      <c r="X6">
        <f>HYPERLINK("https://klasma.github.io/Logging_1267/tillsyn/A 15070-2021 tillsynsbegäran.docx", "A 15070-2021")</f>
        <v/>
      </c>
      <c r="Y6">
        <f>HYPERLINK("https://klasma.github.io/Logging_1267/tillsynsmail/A 15070-2021 tillsynsbegäran mail.docx", "A 15070-2021")</f>
        <v/>
      </c>
    </row>
    <row r="7" ht="15" customHeight="1">
      <c r="A7" t="inlineStr">
        <is>
          <t>A 44327-2021</t>
        </is>
      </c>
      <c r="B7" s="1" t="n">
        <v>44434</v>
      </c>
      <c r="C7" s="1" t="n">
        <v>45581</v>
      </c>
      <c r="D7" t="inlineStr">
        <is>
          <t>SKÅNE LÄN</t>
        </is>
      </c>
      <c r="E7" t="inlineStr">
        <is>
          <t>HÖÖR</t>
        </is>
      </c>
      <c r="G7" t="n">
        <v>12.1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Årta</t>
        </is>
      </c>
      <c r="S7">
        <f>HYPERLINK("https://klasma.github.io/Logging_1267/artfynd/A 44327-2021 artfynd.xlsx", "A 44327-2021")</f>
        <v/>
      </c>
      <c r="T7">
        <f>HYPERLINK("https://klasma.github.io/Logging_1267/kartor/A 44327-2021 karta.png", "A 44327-2021")</f>
        <v/>
      </c>
      <c r="V7">
        <f>HYPERLINK("https://klasma.github.io/Logging_1267/klagomål/A 44327-2021 FSC-klagomål.docx", "A 44327-2021")</f>
        <v/>
      </c>
      <c r="W7">
        <f>HYPERLINK("https://klasma.github.io/Logging_1267/klagomålsmail/A 44327-2021 FSC-klagomål mail.docx", "A 44327-2021")</f>
        <v/>
      </c>
      <c r="X7">
        <f>HYPERLINK("https://klasma.github.io/Logging_1267/tillsyn/A 44327-2021 tillsynsbegäran.docx", "A 44327-2021")</f>
        <v/>
      </c>
      <c r="Y7">
        <f>HYPERLINK("https://klasma.github.io/Logging_1267/tillsynsmail/A 44327-2021 tillsynsbegäran mail.docx", "A 44327-2021")</f>
        <v/>
      </c>
    </row>
    <row r="8" ht="15" customHeight="1">
      <c r="A8" t="inlineStr">
        <is>
          <t>A 46919-2021</t>
        </is>
      </c>
      <c r="B8" s="1" t="n">
        <v>44446</v>
      </c>
      <c r="C8" s="1" t="n">
        <v>45581</v>
      </c>
      <c r="D8" t="inlineStr">
        <is>
          <t>SKÅNE LÄN</t>
        </is>
      </c>
      <c r="E8" t="inlineStr">
        <is>
          <t>HÖÖR</t>
        </is>
      </c>
      <c r="G8" t="n">
        <v>2.8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Strutbräken</t>
        </is>
      </c>
      <c r="S8">
        <f>HYPERLINK("https://klasma.github.io/Logging_1267/artfynd/A 46919-2021 artfynd.xlsx", "A 46919-2021")</f>
        <v/>
      </c>
      <c r="T8">
        <f>HYPERLINK("https://klasma.github.io/Logging_1267/kartor/A 46919-2021 karta.png", "A 46919-2021")</f>
        <v/>
      </c>
      <c r="V8">
        <f>HYPERLINK("https://klasma.github.io/Logging_1267/klagomål/A 46919-2021 FSC-klagomål.docx", "A 46919-2021")</f>
        <v/>
      </c>
      <c r="W8">
        <f>HYPERLINK("https://klasma.github.io/Logging_1267/klagomålsmail/A 46919-2021 FSC-klagomål mail.docx", "A 46919-2021")</f>
        <v/>
      </c>
      <c r="X8">
        <f>HYPERLINK("https://klasma.github.io/Logging_1267/tillsyn/A 46919-2021 tillsynsbegäran.docx", "A 46919-2021")</f>
        <v/>
      </c>
      <c r="Y8">
        <f>HYPERLINK("https://klasma.github.io/Logging_1267/tillsynsmail/A 46919-2021 tillsynsbegäran mail.docx", "A 46919-2021")</f>
        <v/>
      </c>
    </row>
    <row r="9" ht="15" customHeight="1">
      <c r="A9" t="inlineStr">
        <is>
          <t>A 12906-2023</t>
        </is>
      </c>
      <c r="B9" s="1" t="n">
        <v>45001</v>
      </c>
      <c r="C9" s="1" t="n">
        <v>45581</v>
      </c>
      <c r="D9" t="inlineStr">
        <is>
          <t>SKÅNE LÄN</t>
        </is>
      </c>
      <c r="E9" t="inlineStr">
        <is>
          <t>HÖÖR</t>
        </is>
      </c>
      <c r="G9" t="n">
        <v>2.4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HYPERLINK("https://klasma.github.io/Logging_1267/artfynd/A 12906-2023 artfynd.xlsx", "A 12906-2023")</f>
        <v/>
      </c>
      <c r="T9">
        <f>HYPERLINK("https://klasma.github.io/Logging_1267/kartor/A 12906-2023 karta.png", "A 12906-2023")</f>
        <v/>
      </c>
      <c r="V9">
        <f>HYPERLINK("https://klasma.github.io/Logging_1267/klagomål/A 12906-2023 FSC-klagomål.docx", "A 12906-2023")</f>
        <v/>
      </c>
      <c r="W9">
        <f>HYPERLINK("https://klasma.github.io/Logging_1267/klagomålsmail/A 12906-2023 FSC-klagomål mail.docx", "A 12906-2023")</f>
        <v/>
      </c>
      <c r="X9">
        <f>HYPERLINK("https://klasma.github.io/Logging_1267/tillsyn/A 12906-2023 tillsynsbegäran.docx", "A 12906-2023")</f>
        <v/>
      </c>
      <c r="Y9">
        <f>HYPERLINK("https://klasma.github.io/Logging_1267/tillsynsmail/A 12906-2023 tillsynsbegäran mail.docx", "A 12906-2023")</f>
        <v/>
      </c>
    </row>
    <row r="10" ht="15" customHeight="1">
      <c r="A10" t="inlineStr">
        <is>
          <t>A 19517-2023</t>
        </is>
      </c>
      <c r="B10" s="1" t="n">
        <v>45050</v>
      </c>
      <c r="C10" s="1" t="n">
        <v>45581</v>
      </c>
      <c r="D10" t="inlineStr">
        <is>
          <t>SKÅNE LÄN</t>
        </is>
      </c>
      <c r="E10" t="inlineStr">
        <is>
          <t>HÖÖR</t>
        </is>
      </c>
      <c r="G10" t="n">
        <v>6.2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Liten stinksvamp</t>
        </is>
      </c>
      <c r="S10">
        <f>HYPERLINK("https://klasma.github.io/Logging_1267/artfynd/A 19517-2023 artfynd.xlsx", "A 19517-2023")</f>
        <v/>
      </c>
      <c r="T10">
        <f>HYPERLINK("https://klasma.github.io/Logging_1267/kartor/A 19517-2023 karta.png", "A 19517-2023")</f>
        <v/>
      </c>
      <c r="V10">
        <f>HYPERLINK("https://klasma.github.io/Logging_1267/klagomål/A 19517-2023 FSC-klagomål.docx", "A 19517-2023")</f>
        <v/>
      </c>
      <c r="W10">
        <f>HYPERLINK("https://klasma.github.io/Logging_1267/klagomålsmail/A 19517-2023 FSC-klagomål mail.docx", "A 19517-2023")</f>
        <v/>
      </c>
      <c r="X10">
        <f>HYPERLINK("https://klasma.github.io/Logging_1267/tillsyn/A 19517-2023 tillsynsbegäran.docx", "A 19517-2023")</f>
        <v/>
      </c>
      <c r="Y10">
        <f>HYPERLINK("https://klasma.github.io/Logging_1267/tillsynsmail/A 19517-2023 tillsynsbegäran mail.docx", "A 19517-2023")</f>
        <v/>
      </c>
    </row>
    <row r="11" ht="15" customHeight="1">
      <c r="A11" t="inlineStr">
        <is>
          <t>A 2942-2024</t>
        </is>
      </c>
      <c r="B11" s="1" t="n">
        <v>45315</v>
      </c>
      <c r="C11" s="1" t="n">
        <v>45581</v>
      </c>
      <c r="D11" t="inlineStr">
        <is>
          <t>SKÅNE LÄN</t>
        </is>
      </c>
      <c r="E11" t="inlineStr">
        <is>
          <t>HÖÖR</t>
        </is>
      </c>
      <c r="G11" t="n">
        <v>11.2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HYPERLINK("https://klasma.github.io/Logging_1267/artfynd/A 2942-2024 artfynd.xlsx", "A 2942-2024")</f>
        <v/>
      </c>
      <c r="T11">
        <f>HYPERLINK("https://klasma.github.io/Logging_1267/kartor/A 2942-2024 karta.png", "A 2942-2024")</f>
        <v/>
      </c>
      <c r="V11">
        <f>HYPERLINK("https://klasma.github.io/Logging_1267/klagomål/A 2942-2024 FSC-klagomål.docx", "A 2942-2024")</f>
        <v/>
      </c>
      <c r="W11">
        <f>HYPERLINK("https://klasma.github.io/Logging_1267/klagomålsmail/A 2942-2024 FSC-klagomål mail.docx", "A 2942-2024")</f>
        <v/>
      </c>
      <c r="X11">
        <f>HYPERLINK("https://klasma.github.io/Logging_1267/tillsyn/A 2942-2024 tillsynsbegäran.docx", "A 2942-2024")</f>
        <v/>
      </c>
      <c r="Y11">
        <f>HYPERLINK("https://klasma.github.io/Logging_1267/tillsynsmail/A 2942-2024 tillsynsbegäran mail.docx", "A 2942-2024")</f>
        <v/>
      </c>
    </row>
    <row r="12" ht="15" customHeight="1">
      <c r="A12" t="inlineStr">
        <is>
          <t>A 5423-2024</t>
        </is>
      </c>
      <c r="B12" s="1" t="n">
        <v>45331</v>
      </c>
      <c r="C12" s="1" t="n">
        <v>45581</v>
      </c>
      <c r="D12" t="inlineStr">
        <is>
          <t>SKÅNE LÄN</t>
        </is>
      </c>
      <c r="E12" t="inlineStr">
        <is>
          <t>HÖÖR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HYPERLINK("https://klasma.github.io/Logging_1267/artfynd/A 5423-2024 artfynd.xlsx", "A 5423-2024")</f>
        <v/>
      </c>
      <c r="T12">
        <f>HYPERLINK("https://klasma.github.io/Logging_1267/kartor/A 5423-2024 karta.png", "A 5423-2024")</f>
        <v/>
      </c>
      <c r="V12">
        <f>HYPERLINK("https://klasma.github.io/Logging_1267/klagomål/A 5423-2024 FSC-klagomål.docx", "A 5423-2024")</f>
        <v/>
      </c>
      <c r="W12">
        <f>HYPERLINK("https://klasma.github.io/Logging_1267/klagomålsmail/A 5423-2024 FSC-klagomål mail.docx", "A 5423-2024")</f>
        <v/>
      </c>
      <c r="X12">
        <f>HYPERLINK("https://klasma.github.io/Logging_1267/tillsyn/A 5423-2024 tillsynsbegäran.docx", "A 5423-2024")</f>
        <v/>
      </c>
      <c r="Y12">
        <f>HYPERLINK("https://klasma.github.io/Logging_1267/tillsynsmail/A 5423-2024 tillsynsbegäran mail.docx", "A 5423-2024")</f>
        <v/>
      </c>
    </row>
    <row r="13" ht="15" customHeight="1">
      <c r="A13" t="inlineStr">
        <is>
          <t>A 20987-2024</t>
        </is>
      </c>
      <c r="B13" s="1" t="n">
        <v>45439</v>
      </c>
      <c r="C13" s="1" t="n">
        <v>45581</v>
      </c>
      <c r="D13" t="inlineStr">
        <is>
          <t>SKÅNE LÄN</t>
        </is>
      </c>
      <c r="E13" t="inlineStr">
        <is>
          <t>HÖÖR</t>
        </is>
      </c>
      <c r="G13" t="n">
        <v>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HYPERLINK("https://klasma.github.io/Logging_1267/artfynd/A 20987-2024 artfynd.xlsx", "A 20987-2024")</f>
        <v/>
      </c>
      <c r="T13">
        <f>HYPERLINK("https://klasma.github.io/Logging_1267/kartor/A 20987-2024 karta.png", "A 20987-2024")</f>
        <v/>
      </c>
      <c r="V13">
        <f>HYPERLINK("https://klasma.github.io/Logging_1267/klagomål/A 20987-2024 FSC-klagomål.docx", "A 20987-2024")</f>
        <v/>
      </c>
      <c r="W13">
        <f>HYPERLINK("https://klasma.github.io/Logging_1267/klagomålsmail/A 20987-2024 FSC-klagomål mail.docx", "A 20987-2024")</f>
        <v/>
      </c>
      <c r="X13">
        <f>HYPERLINK("https://klasma.github.io/Logging_1267/tillsyn/A 20987-2024 tillsynsbegäran.docx", "A 20987-2024")</f>
        <v/>
      </c>
      <c r="Y13">
        <f>HYPERLINK("https://klasma.github.io/Logging_1267/tillsynsmail/A 20987-2024 tillsynsbegäran mail.docx", "A 20987-2024")</f>
        <v/>
      </c>
    </row>
    <row r="14" ht="15" customHeight="1">
      <c r="A14" t="inlineStr">
        <is>
          <t>A 20975-2024</t>
        </is>
      </c>
      <c r="B14" s="1" t="n">
        <v>45439</v>
      </c>
      <c r="C14" s="1" t="n">
        <v>45581</v>
      </c>
      <c r="D14" t="inlineStr">
        <is>
          <t>SKÅNE LÄN</t>
        </is>
      </c>
      <c r="E14" t="inlineStr">
        <is>
          <t>HÖÖR</t>
        </is>
      </c>
      <c r="G14" t="n">
        <v>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HYPERLINK("https://klasma.github.io/Logging_1267/artfynd/A 20975-2024 artfynd.xlsx", "A 20975-2024")</f>
        <v/>
      </c>
      <c r="T14">
        <f>HYPERLINK("https://klasma.github.io/Logging_1267/kartor/A 20975-2024 karta.png", "A 20975-2024")</f>
        <v/>
      </c>
      <c r="V14">
        <f>HYPERLINK("https://klasma.github.io/Logging_1267/klagomål/A 20975-2024 FSC-klagomål.docx", "A 20975-2024")</f>
        <v/>
      </c>
      <c r="W14">
        <f>HYPERLINK("https://klasma.github.io/Logging_1267/klagomålsmail/A 20975-2024 FSC-klagomål mail.docx", "A 20975-2024")</f>
        <v/>
      </c>
      <c r="X14">
        <f>HYPERLINK("https://klasma.github.io/Logging_1267/tillsyn/A 20975-2024 tillsynsbegäran.docx", "A 20975-2024")</f>
        <v/>
      </c>
      <c r="Y14">
        <f>HYPERLINK("https://klasma.github.io/Logging_1267/tillsynsmail/A 20975-2024 tillsynsbegäran mail.docx", "A 20975-2024")</f>
        <v/>
      </c>
    </row>
    <row r="15" ht="15" customHeight="1">
      <c r="A15" t="inlineStr">
        <is>
          <t>A 22569-2024</t>
        </is>
      </c>
      <c r="B15" s="1" t="n">
        <v>45447</v>
      </c>
      <c r="C15" s="1" t="n">
        <v>45581</v>
      </c>
      <c r="D15" t="inlineStr">
        <is>
          <t>SKÅNE LÄN</t>
        </is>
      </c>
      <c r="E15" t="inlineStr">
        <is>
          <t>HÖÖR</t>
        </is>
      </c>
      <c r="G15" t="n">
        <v>2.2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HYPERLINK("https://klasma.github.io/Logging_1267/artfynd/A 22569-2024 artfynd.xlsx", "A 22569-2024")</f>
        <v/>
      </c>
      <c r="T15">
        <f>HYPERLINK("https://klasma.github.io/Logging_1267/kartor/A 22569-2024 karta.png", "A 22569-2024")</f>
        <v/>
      </c>
      <c r="V15">
        <f>HYPERLINK("https://klasma.github.io/Logging_1267/klagomål/A 22569-2024 FSC-klagomål.docx", "A 22569-2024")</f>
        <v/>
      </c>
      <c r="W15">
        <f>HYPERLINK("https://klasma.github.io/Logging_1267/klagomålsmail/A 22569-2024 FSC-klagomål mail.docx", "A 22569-2024")</f>
        <v/>
      </c>
      <c r="X15">
        <f>HYPERLINK("https://klasma.github.io/Logging_1267/tillsyn/A 22569-2024 tillsynsbegäran.docx", "A 22569-2024")</f>
        <v/>
      </c>
      <c r="Y15">
        <f>HYPERLINK("https://klasma.github.io/Logging_1267/tillsynsmail/A 22569-2024 tillsynsbegäran mail.docx", "A 22569-2024")</f>
        <v/>
      </c>
      <c r="Z15">
        <f>HYPERLINK("https://klasma.github.io/Logging_1267/fåglar/A 22569-2024 prioriterade fågelarter.docx", "A 22569-2024")</f>
        <v/>
      </c>
    </row>
    <row r="16" ht="15" customHeight="1">
      <c r="A16" t="inlineStr">
        <is>
          <t>A 22919-2019</t>
        </is>
      </c>
      <c r="B16" s="1" t="n">
        <v>43587</v>
      </c>
      <c r="C16" s="1" t="n">
        <v>45581</v>
      </c>
      <c r="D16" t="inlineStr">
        <is>
          <t>SKÅNE LÄN</t>
        </is>
      </c>
      <c r="E16" t="inlineStr">
        <is>
          <t>HÖÖR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25604-2019</t>
        </is>
      </c>
      <c r="B17" s="1" t="n">
        <v>43602</v>
      </c>
      <c r="C17" s="1" t="n">
        <v>45581</v>
      </c>
      <c r="D17" t="inlineStr">
        <is>
          <t>SKÅNE LÄN</t>
        </is>
      </c>
      <c r="E17" t="inlineStr">
        <is>
          <t>HÖÖR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27818-2019</t>
        </is>
      </c>
      <c r="B18" s="1" t="n">
        <v>43620</v>
      </c>
      <c r="C18" s="1" t="n">
        <v>45581</v>
      </c>
      <c r="D18" t="inlineStr">
        <is>
          <t>SKÅNE LÄN</t>
        </is>
      </c>
      <c r="E18" t="inlineStr">
        <is>
          <t>HÖÖR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29230-2019</t>
        </is>
      </c>
      <c r="B19" s="1" t="n">
        <v>43623</v>
      </c>
      <c r="C19" s="1" t="n">
        <v>45581</v>
      </c>
      <c r="D19" t="inlineStr">
        <is>
          <t>SKÅNE LÄN</t>
        </is>
      </c>
      <c r="E19" t="inlineStr">
        <is>
          <t>HÖÖR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31177-2019</t>
        </is>
      </c>
      <c r="B20" s="1" t="n">
        <v>43640</v>
      </c>
      <c r="C20" s="1" t="n">
        <v>45581</v>
      </c>
      <c r="D20" t="inlineStr">
        <is>
          <t>SKÅNE LÄN</t>
        </is>
      </c>
      <c r="E20" t="inlineStr">
        <is>
          <t>HÖÖR</t>
        </is>
      </c>
      <c r="G20" t="n">
        <v>8.6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37176-2019</t>
        </is>
      </c>
      <c r="B21" s="1" t="n">
        <v>43677</v>
      </c>
      <c r="C21" s="1" t="n">
        <v>45581</v>
      </c>
      <c r="D21" t="inlineStr">
        <is>
          <t>SKÅNE LÄN</t>
        </is>
      </c>
      <c r="E21" t="inlineStr">
        <is>
          <t>HÖÖR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37633-2019</t>
        </is>
      </c>
      <c r="B22" s="1" t="n">
        <v>43679</v>
      </c>
      <c r="C22" s="1" t="n">
        <v>45581</v>
      </c>
      <c r="D22" t="inlineStr">
        <is>
          <t>SKÅNE LÄN</t>
        </is>
      </c>
      <c r="E22" t="inlineStr">
        <is>
          <t>HÖÖR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39800-2019</t>
        </is>
      </c>
      <c r="B23" s="1" t="n">
        <v>43689</v>
      </c>
      <c r="C23" s="1" t="n">
        <v>45581</v>
      </c>
      <c r="D23" t="inlineStr">
        <is>
          <t>SKÅNE LÄN</t>
        </is>
      </c>
      <c r="E23" t="inlineStr">
        <is>
          <t>HÖÖR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40887-2019</t>
        </is>
      </c>
      <c r="B24" s="1" t="n">
        <v>43693</v>
      </c>
      <c r="C24" s="1" t="n">
        <v>45581</v>
      </c>
      <c r="D24" t="inlineStr">
        <is>
          <t>SKÅNE LÄN</t>
        </is>
      </c>
      <c r="E24" t="inlineStr">
        <is>
          <t>HÖÖR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61949-2019</t>
        </is>
      </c>
      <c r="B25" s="1" t="n">
        <v>43781</v>
      </c>
      <c r="C25" s="1" t="n">
        <v>45581</v>
      </c>
      <c r="D25" t="inlineStr">
        <is>
          <t>SKÅNE LÄN</t>
        </is>
      </c>
      <c r="E25" t="inlineStr">
        <is>
          <t>HÖÖR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62459-2019</t>
        </is>
      </c>
      <c r="B26" s="1" t="n">
        <v>43788</v>
      </c>
      <c r="C26" s="1" t="n">
        <v>45581</v>
      </c>
      <c r="D26" t="inlineStr">
        <is>
          <t>SKÅNE LÄN</t>
        </is>
      </c>
      <c r="E26" t="inlineStr">
        <is>
          <t>HÖÖR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66060-2019</t>
        </is>
      </c>
      <c r="B27" s="1" t="n">
        <v>43806</v>
      </c>
      <c r="C27" s="1" t="n">
        <v>45581</v>
      </c>
      <c r="D27" t="inlineStr">
        <is>
          <t>SKÅNE LÄN</t>
        </is>
      </c>
      <c r="E27" t="inlineStr">
        <is>
          <t>HÖÖR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66796-2019</t>
        </is>
      </c>
      <c r="B28" s="1" t="n">
        <v>43810</v>
      </c>
      <c r="C28" s="1" t="n">
        <v>45581</v>
      </c>
      <c r="D28" t="inlineStr">
        <is>
          <t>SKÅNE LÄN</t>
        </is>
      </c>
      <c r="E28" t="inlineStr">
        <is>
          <t>HÖÖR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5678-2020</t>
        </is>
      </c>
      <c r="B29" s="1" t="n">
        <v>43861</v>
      </c>
      <c r="C29" s="1" t="n">
        <v>45581</v>
      </c>
      <c r="D29" t="inlineStr">
        <is>
          <t>SKÅNE LÄN</t>
        </is>
      </c>
      <c r="E29" t="inlineStr">
        <is>
          <t>HÖÖR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8779-2020</t>
        </is>
      </c>
      <c r="B30" s="1" t="n">
        <v>43878</v>
      </c>
      <c r="C30" s="1" t="n">
        <v>45581</v>
      </c>
      <c r="D30" t="inlineStr">
        <is>
          <t>SKÅNE LÄN</t>
        </is>
      </c>
      <c r="E30" t="inlineStr">
        <is>
          <t>HÖÖR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9425-2020</t>
        </is>
      </c>
      <c r="B31" s="1" t="n">
        <v>43880</v>
      </c>
      <c r="C31" s="1" t="n">
        <v>45581</v>
      </c>
      <c r="D31" t="inlineStr">
        <is>
          <t>SKÅNE LÄN</t>
        </is>
      </c>
      <c r="E31" t="inlineStr">
        <is>
          <t>HÖÖR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11641-2020</t>
        </is>
      </c>
      <c r="B32" s="1" t="n">
        <v>43893</v>
      </c>
      <c r="C32" s="1" t="n">
        <v>45581</v>
      </c>
      <c r="D32" t="inlineStr">
        <is>
          <t>SKÅNE LÄN</t>
        </is>
      </c>
      <c r="E32" t="inlineStr">
        <is>
          <t>HÖÖR</t>
        </is>
      </c>
      <c r="G32" t="n">
        <v>8.9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16450-2020</t>
        </is>
      </c>
      <c r="B33" s="1" t="n">
        <v>43909</v>
      </c>
      <c r="C33" s="1" t="n">
        <v>45581</v>
      </c>
      <c r="D33" t="inlineStr">
        <is>
          <t>SKÅNE LÄN</t>
        </is>
      </c>
      <c r="E33" t="inlineStr">
        <is>
          <t>HÖÖR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16870-2020</t>
        </is>
      </c>
      <c r="B34" s="1" t="n">
        <v>43910</v>
      </c>
      <c r="C34" s="1" t="n">
        <v>45581</v>
      </c>
      <c r="D34" t="inlineStr">
        <is>
          <t>SKÅNE LÄN</t>
        </is>
      </c>
      <c r="E34" t="inlineStr">
        <is>
          <t>HÖÖR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16172-2020</t>
        </is>
      </c>
      <c r="B35" s="1" t="n">
        <v>43917</v>
      </c>
      <c r="C35" s="1" t="n">
        <v>45581</v>
      </c>
      <c r="D35" t="inlineStr">
        <is>
          <t>SKÅNE LÄN</t>
        </is>
      </c>
      <c r="E35" t="inlineStr">
        <is>
          <t>HÖÖR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16638-2020</t>
        </is>
      </c>
      <c r="B36" s="1" t="n">
        <v>43920</v>
      </c>
      <c r="C36" s="1" t="n">
        <v>45581</v>
      </c>
      <c r="D36" t="inlineStr">
        <is>
          <t>SKÅNE LÄN</t>
        </is>
      </c>
      <c r="E36" t="inlineStr">
        <is>
          <t>HÖÖR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23536-2020</t>
        </is>
      </c>
      <c r="B37" s="1" t="n">
        <v>43969</v>
      </c>
      <c r="C37" s="1" t="n">
        <v>45581</v>
      </c>
      <c r="D37" t="inlineStr">
        <is>
          <t>SKÅNE LÄN</t>
        </is>
      </c>
      <c r="E37" t="inlineStr">
        <is>
          <t>HÖÖR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24628-2020</t>
        </is>
      </c>
      <c r="B38" s="1" t="n">
        <v>43977</v>
      </c>
      <c r="C38" s="1" t="n">
        <v>45581</v>
      </c>
      <c r="D38" t="inlineStr">
        <is>
          <t>SKÅNE LÄN</t>
        </is>
      </c>
      <c r="E38" t="inlineStr">
        <is>
          <t>HÖÖR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27453-2020</t>
        </is>
      </c>
      <c r="B39" s="1" t="n">
        <v>43993</v>
      </c>
      <c r="C39" s="1" t="n">
        <v>45581</v>
      </c>
      <c r="D39" t="inlineStr">
        <is>
          <t>SKÅNE LÄN</t>
        </is>
      </c>
      <c r="E39" t="inlineStr">
        <is>
          <t>HÖÖR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37351-2020</t>
        </is>
      </c>
      <c r="B40" s="1" t="n">
        <v>44055</v>
      </c>
      <c r="C40" s="1" t="n">
        <v>45581</v>
      </c>
      <c r="D40" t="inlineStr">
        <is>
          <t>SKÅNE LÄN</t>
        </is>
      </c>
      <c r="E40" t="inlineStr">
        <is>
          <t>HÖÖR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37358-2020</t>
        </is>
      </c>
      <c r="B41" s="1" t="n">
        <v>44055</v>
      </c>
      <c r="C41" s="1" t="n">
        <v>45581</v>
      </c>
      <c r="D41" t="inlineStr">
        <is>
          <t>SKÅNE LÄN</t>
        </is>
      </c>
      <c r="E41" t="inlineStr">
        <is>
          <t>HÖÖR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50185-2020</t>
        </is>
      </c>
      <c r="B42" s="1" t="n">
        <v>44109</v>
      </c>
      <c r="C42" s="1" t="n">
        <v>45581</v>
      </c>
      <c r="D42" t="inlineStr">
        <is>
          <t>SKÅNE LÄN</t>
        </is>
      </c>
      <c r="E42" t="inlineStr">
        <is>
          <t>HÖÖR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51844-2020</t>
        </is>
      </c>
      <c r="B43" s="1" t="n">
        <v>44116</v>
      </c>
      <c r="C43" s="1" t="n">
        <v>45581</v>
      </c>
      <c r="D43" t="inlineStr">
        <is>
          <t>SKÅNE LÄN</t>
        </is>
      </c>
      <c r="E43" t="inlineStr">
        <is>
          <t>HÖÖR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51857-2020</t>
        </is>
      </c>
      <c r="B44" s="1" t="n">
        <v>44116</v>
      </c>
      <c r="C44" s="1" t="n">
        <v>45581</v>
      </c>
      <c r="D44" t="inlineStr">
        <is>
          <t>SKÅNE LÄN</t>
        </is>
      </c>
      <c r="E44" t="inlineStr">
        <is>
          <t>HÖÖR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52708-2020</t>
        </is>
      </c>
      <c r="B45" s="1" t="n">
        <v>44116</v>
      </c>
      <c r="C45" s="1" t="n">
        <v>45581</v>
      </c>
      <c r="D45" t="inlineStr">
        <is>
          <t>SKÅNE LÄN</t>
        </is>
      </c>
      <c r="E45" t="inlineStr">
        <is>
          <t>HÖÖR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52266-2020</t>
        </is>
      </c>
      <c r="B46" s="1" t="n">
        <v>44117</v>
      </c>
      <c r="C46" s="1" t="n">
        <v>45581</v>
      </c>
      <c r="D46" t="inlineStr">
        <is>
          <t>SKÅNE LÄN</t>
        </is>
      </c>
      <c r="E46" t="inlineStr">
        <is>
          <t>HÖÖR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55638-2020</t>
        </is>
      </c>
      <c r="B47" s="1" t="n">
        <v>44131</v>
      </c>
      <c r="C47" s="1" t="n">
        <v>45581</v>
      </c>
      <c r="D47" t="inlineStr">
        <is>
          <t>SKÅNE LÄN</t>
        </is>
      </c>
      <c r="E47" t="inlineStr">
        <is>
          <t>HÖÖR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55636-2020</t>
        </is>
      </c>
      <c r="B48" s="1" t="n">
        <v>44131</v>
      </c>
      <c r="C48" s="1" t="n">
        <v>45581</v>
      </c>
      <c r="D48" t="inlineStr">
        <is>
          <t>SKÅNE LÄN</t>
        </is>
      </c>
      <c r="E48" t="inlineStr">
        <is>
          <t>HÖÖR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55639-2020</t>
        </is>
      </c>
      <c r="B49" s="1" t="n">
        <v>44131</v>
      </c>
      <c r="C49" s="1" t="n">
        <v>45581</v>
      </c>
      <c r="D49" t="inlineStr">
        <is>
          <t>SKÅNE LÄN</t>
        </is>
      </c>
      <c r="E49" t="inlineStr">
        <is>
          <t>HÖÖR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59145-2020</t>
        </is>
      </c>
      <c r="B50" s="1" t="n">
        <v>44147</v>
      </c>
      <c r="C50" s="1" t="n">
        <v>45581</v>
      </c>
      <c r="D50" t="inlineStr">
        <is>
          <t>SKÅNE LÄN</t>
        </is>
      </c>
      <c r="E50" t="inlineStr">
        <is>
          <t>HÖÖR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66043-2020</t>
        </is>
      </c>
      <c r="B51" s="1" t="n">
        <v>44175</v>
      </c>
      <c r="C51" s="1" t="n">
        <v>45581</v>
      </c>
      <c r="D51" t="inlineStr">
        <is>
          <t>SKÅNE LÄN</t>
        </is>
      </c>
      <c r="E51" t="inlineStr">
        <is>
          <t>HÖÖR</t>
        </is>
      </c>
      <c r="G51" t="n">
        <v>12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66505-2020</t>
        </is>
      </c>
      <c r="B52" s="1" t="n">
        <v>44178</v>
      </c>
      <c r="C52" s="1" t="n">
        <v>45581</v>
      </c>
      <c r="D52" t="inlineStr">
        <is>
          <t>SKÅNE LÄN</t>
        </is>
      </c>
      <c r="E52" t="inlineStr">
        <is>
          <t>HÖÖR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66507-2020</t>
        </is>
      </c>
      <c r="B53" s="1" t="n">
        <v>44178</v>
      </c>
      <c r="C53" s="1" t="n">
        <v>45581</v>
      </c>
      <c r="D53" t="inlineStr">
        <is>
          <t>SKÅNE LÄN</t>
        </is>
      </c>
      <c r="E53" t="inlineStr">
        <is>
          <t>HÖÖR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2721-2021</t>
        </is>
      </c>
      <c r="B54" s="1" t="n">
        <v>44215</v>
      </c>
      <c r="C54" s="1" t="n">
        <v>45581</v>
      </c>
      <c r="D54" t="inlineStr">
        <is>
          <t>SKÅNE LÄN</t>
        </is>
      </c>
      <c r="E54" t="inlineStr">
        <is>
          <t>HÖÖR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6648-2021</t>
        </is>
      </c>
      <c r="B55" s="1" t="n">
        <v>44235</v>
      </c>
      <c r="C55" s="1" t="n">
        <v>45581</v>
      </c>
      <c r="D55" t="inlineStr">
        <is>
          <t>SKÅNE LÄN</t>
        </is>
      </c>
      <c r="E55" t="inlineStr">
        <is>
          <t>HÖÖR</t>
        </is>
      </c>
      <c r="F55" t="inlineStr">
        <is>
          <t>Övriga statliga verk och myndigheter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6769-2021</t>
        </is>
      </c>
      <c r="B56" s="1" t="n">
        <v>44236</v>
      </c>
      <c r="C56" s="1" t="n">
        <v>45581</v>
      </c>
      <c r="D56" t="inlineStr">
        <is>
          <t>SKÅNE LÄN</t>
        </is>
      </c>
      <c r="E56" t="inlineStr">
        <is>
          <t>HÖÖR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8833-2021</t>
        </is>
      </c>
      <c r="B57" s="1" t="n">
        <v>44245</v>
      </c>
      <c r="C57" s="1" t="n">
        <v>45581</v>
      </c>
      <c r="D57" t="inlineStr">
        <is>
          <t>SKÅNE LÄN</t>
        </is>
      </c>
      <c r="E57" t="inlineStr">
        <is>
          <t>HÖÖR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8790-2021</t>
        </is>
      </c>
      <c r="B58" s="1" t="n">
        <v>44246</v>
      </c>
      <c r="C58" s="1" t="n">
        <v>45581</v>
      </c>
      <c r="D58" t="inlineStr">
        <is>
          <t>SKÅNE LÄN</t>
        </is>
      </c>
      <c r="E58" t="inlineStr">
        <is>
          <t>HÖÖR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10013-2021</t>
        </is>
      </c>
      <c r="B59" s="1" t="n">
        <v>44253</v>
      </c>
      <c r="C59" s="1" t="n">
        <v>45581</v>
      </c>
      <c r="D59" t="inlineStr">
        <is>
          <t>SKÅNE LÄN</t>
        </is>
      </c>
      <c r="E59" t="inlineStr">
        <is>
          <t>HÖÖR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11506-2021</t>
        </is>
      </c>
      <c r="B60" s="1" t="n">
        <v>44264</v>
      </c>
      <c r="C60" s="1" t="n">
        <v>45581</v>
      </c>
      <c r="D60" t="inlineStr">
        <is>
          <t>SKÅNE LÄN</t>
        </is>
      </c>
      <c r="E60" t="inlineStr">
        <is>
          <t>HÖÖR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11511-2021</t>
        </is>
      </c>
      <c r="B61" s="1" t="n">
        <v>44264</v>
      </c>
      <c r="C61" s="1" t="n">
        <v>45581</v>
      </c>
      <c r="D61" t="inlineStr">
        <is>
          <t>SKÅNE LÄN</t>
        </is>
      </c>
      <c r="E61" t="inlineStr">
        <is>
          <t>HÖÖR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12067-2021</t>
        </is>
      </c>
      <c r="B62" s="1" t="n">
        <v>44266</v>
      </c>
      <c r="C62" s="1" t="n">
        <v>45581</v>
      </c>
      <c r="D62" t="inlineStr">
        <is>
          <t>SKÅNE LÄN</t>
        </is>
      </c>
      <c r="E62" t="inlineStr">
        <is>
          <t>HÖÖR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13440-2021</t>
        </is>
      </c>
      <c r="B63" s="1" t="n">
        <v>44273</v>
      </c>
      <c r="C63" s="1" t="n">
        <v>45581</v>
      </c>
      <c r="D63" t="inlineStr">
        <is>
          <t>SKÅNE LÄN</t>
        </is>
      </c>
      <c r="E63" t="inlineStr">
        <is>
          <t>HÖÖR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15056-2021</t>
        </is>
      </c>
      <c r="B64" s="1" t="n">
        <v>44281</v>
      </c>
      <c r="C64" s="1" t="n">
        <v>45581</v>
      </c>
      <c r="D64" t="inlineStr">
        <is>
          <t>SKÅNE LÄN</t>
        </is>
      </c>
      <c r="E64" t="inlineStr">
        <is>
          <t>HÖÖR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15330-2021</t>
        </is>
      </c>
      <c r="B65" s="1" t="n">
        <v>44284</v>
      </c>
      <c r="C65" s="1" t="n">
        <v>45581</v>
      </c>
      <c r="D65" t="inlineStr">
        <is>
          <t>SKÅNE LÄN</t>
        </is>
      </c>
      <c r="E65" t="inlineStr">
        <is>
          <t>HÖÖR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19196-2021</t>
        </is>
      </c>
      <c r="B66" s="1" t="n">
        <v>44308</v>
      </c>
      <c r="C66" s="1" t="n">
        <v>45581</v>
      </c>
      <c r="D66" t="inlineStr">
        <is>
          <t>SKÅNE LÄN</t>
        </is>
      </c>
      <c r="E66" t="inlineStr">
        <is>
          <t>HÖÖR</t>
        </is>
      </c>
      <c r="G66" t="n">
        <v>9.5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19380-2021</t>
        </is>
      </c>
      <c r="B67" s="1" t="n">
        <v>44309</v>
      </c>
      <c r="C67" s="1" t="n">
        <v>45581</v>
      </c>
      <c r="D67" t="inlineStr">
        <is>
          <t>SKÅNE LÄN</t>
        </is>
      </c>
      <c r="E67" t="inlineStr">
        <is>
          <t>HÖÖR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25369-2021</t>
        </is>
      </c>
      <c r="B68" s="1" t="n">
        <v>44342</v>
      </c>
      <c r="C68" s="1" t="n">
        <v>45581</v>
      </c>
      <c r="D68" t="inlineStr">
        <is>
          <t>SKÅNE LÄN</t>
        </is>
      </c>
      <c r="E68" t="inlineStr">
        <is>
          <t>HÖÖR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31810-2021</t>
        </is>
      </c>
      <c r="B69" s="1" t="n">
        <v>44370</v>
      </c>
      <c r="C69" s="1" t="n">
        <v>45581</v>
      </c>
      <c r="D69" t="inlineStr">
        <is>
          <t>SKÅNE LÄN</t>
        </is>
      </c>
      <c r="E69" t="inlineStr">
        <is>
          <t>HÖÖR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32388-2021</t>
        </is>
      </c>
      <c r="B70" s="1" t="n">
        <v>44371</v>
      </c>
      <c r="C70" s="1" t="n">
        <v>45581</v>
      </c>
      <c r="D70" t="inlineStr">
        <is>
          <t>SKÅNE LÄN</t>
        </is>
      </c>
      <c r="E70" t="inlineStr">
        <is>
          <t>HÖÖR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35491-2021</t>
        </is>
      </c>
      <c r="B71" s="1" t="n">
        <v>44385</v>
      </c>
      <c r="C71" s="1" t="n">
        <v>45581</v>
      </c>
      <c r="D71" t="inlineStr">
        <is>
          <t>SKÅNE LÄN</t>
        </is>
      </c>
      <c r="E71" t="inlineStr">
        <is>
          <t>HÖÖR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37286-2021</t>
        </is>
      </c>
      <c r="B72" s="1" t="n">
        <v>44390</v>
      </c>
      <c r="C72" s="1" t="n">
        <v>45581</v>
      </c>
      <c r="D72" t="inlineStr">
        <is>
          <t>SKÅNE LÄN</t>
        </is>
      </c>
      <c r="E72" t="inlineStr">
        <is>
          <t>HÖÖR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37288-2021</t>
        </is>
      </c>
      <c r="B73" s="1" t="n">
        <v>44390</v>
      </c>
      <c r="C73" s="1" t="n">
        <v>45581</v>
      </c>
      <c r="D73" t="inlineStr">
        <is>
          <t>SKÅNE LÄN</t>
        </is>
      </c>
      <c r="E73" t="inlineStr">
        <is>
          <t>HÖÖR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37135-2021</t>
        </is>
      </c>
      <c r="B74" s="1" t="n">
        <v>44396</v>
      </c>
      <c r="C74" s="1" t="n">
        <v>45581</v>
      </c>
      <c r="D74" t="inlineStr">
        <is>
          <t>SKÅNE LÄN</t>
        </is>
      </c>
      <c r="E74" t="inlineStr">
        <is>
          <t>HÖÖR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37913-2021</t>
        </is>
      </c>
      <c r="B75" s="1" t="n">
        <v>44403</v>
      </c>
      <c r="C75" s="1" t="n">
        <v>45581</v>
      </c>
      <c r="D75" t="inlineStr">
        <is>
          <t>SKÅNE LÄN</t>
        </is>
      </c>
      <c r="E75" t="inlineStr">
        <is>
          <t>HÖÖR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40595-2021</t>
        </is>
      </c>
      <c r="B76" s="1" t="n">
        <v>44420</v>
      </c>
      <c r="C76" s="1" t="n">
        <v>45581</v>
      </c>
      <c r="D76" t="inlineStr">
        <is>
          <t>SKÅNE LÄN</t>
        </is>
      </c>
      <c r="E76" t="inlineStr">
        <is>
          <t>HÖÖR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44166-2021</t>
        </is>
      </c>
      <c r="B77" s="1" t="n">
        <v>44434</v>
      </c>
      <c r="C77" s="1" t="n">
        <v>45581</v>
      </c>
      <c r="D77" t="inlineStr">
        <is>
          <t>SKÅNE LÄN</t>
        </is>
      </c>
      <c r="E77" t="inlineStr">
        <is>
          <t>HÖÖR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44160-2021</t>
        </is>
      </c>
      <c r="B78" s="1" t="n">
        <v>44434</v>
      </c>
      <c r="C78" s="1" t="n">
        <v>45581</v>
      </c>
      <c r="D78" t="inlineStr">
        <is>
          <t>SKÅNE LÄN</t>
        </is>
      </c>
      <c r="E78" t="inlineStr">
        <is>
          <t>HÖÖR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44173-2021</t>
        </is>
      </c>
      <c r="B79" s="1" t="n">
        <v>44434</v>
      </c>
      <c r="C79" s="1" t="n">
        <v>45581</v>
      </c>
      <c r="D79" t="inlineStr">
        <is>
          <t>SKÅNE LÄN</t>
        </is>
      </c>
      <c r="E79" t="inlineStr">
        <is>
          <t>HÖÖR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44341-2021</t>
        </is>
      </c>
      <c r="B80" s="1" t="n">
        <v>44435</v>
      </c>
      <c r="C80" s="1" t="n">
        <v>45581</v>
      </c>
      <c r="D80" t="inlineStr">
        <is>
          <t>SKÅNE LÄN</t>
        </is>
      </c>
      <c r="E80" t="inlineStr">
        <is>
          <t>HÖÖR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46107-2021</t>
        </is>
      </c>
      <c r="B81" s="1" t="n">
        <v>44442</v>
      </c>
      <c r="C81" s="1" t="n">
        <v>45581</v>
      </c>
      <c r="D81" t="inlineStr">
        <is>
          <t>SKÅNE LÄN</t>
        </is>
      </c>
      <c r="E81" t="inlineStr">
        <is>
          <t>HÖÖR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46922-2021</t>
        </is>
      </c>
      <c r="B82" s="1" t="n">
        <v>44446</v>
      </c>
      <c r="C82" s="1" t="n">
        <v>45581</v>
      </c>
      <c r="D82" t="inlineStr">
        <is>
          <t>SKÅNE LÄN</t>
        </is>
      </c>
      <c r="E82" t="inlineStr">
        <is>
          <t>HÖÖR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49111-2021</t>
        </is>
      </c>
      <c r="B83" s="1" t="n">
        <v>44453</v>
      </c>
      <c r="C83" s="1" t="n">
        <v>45581</v>
      </c>
      <c r="D83" t="inlineStr">
        <is>
          <t>SKÅNE LÄN</t>
        </is>
      </c>
      <c r="E83" t="inlineStr">
        <is>
          <t>HÖÖR</t>
        </is>
      </c>
      <c r="G83" t="n">
        <v>14.5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51197-2021</t>
        </is>
      </c>
      <c r="B84" s="1" t="n">
        <v>44460</v>
      </c>
      <c r="C84" s="1" t="n">
        <v>45581</v>
      </c>
      <c r="D84" t="inlineStr">
        <is>
          <t>SKÅNE LÄN</t>
        </is>
      </c>
      <c r="E84" t="inlineStr">
        <is>
          <t>HÖÖR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51120-2021</t>
        </is>
      </c>
      <c r="B85" s="1" t="n">
        <v>44461</v>
      </c>
      <c r="C85" s="1" t="n">
        <v>45581</v>
      </c>
      <c r="D85" t="inlineStr">
        <is>
          <t>SKÅNE LÄN</t>
        </is>
      </c>
      <c r="E85" t="inlineStr">
        <is>
          <t>HÖÖR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51131-2021</t>
        </is>
      </c>
      <c r="B86" s="1" t="n">
        <v>44461</v>
      </c>
      <c r="C86" s="1" t="n">
        <v>45581</v>
      </c>
      <c r="D86" t="inlineStr">
        <is>
          <t>SKÅNE LÄN</t>
        </is>
      </c>
      <c r="E86" t="inlineStr">
        <is>
          <t>HÖÖR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54686-2021</t>
        </is>
      </c>
      <c r="B87" s="1" t="n">
        <v>44473</v>
      </c>
      <c r="C87" s="1" t="n">
        <v>45581</v>
      </c>
      <c r="D87" t="inlineStr">
        <is>
          <t>SKÅNE LÄN</t>
        </is>
      </c>
      <c r="E87" t="inlineStr">
        <is>
          <t>HÖÖR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56512-2021</t>
        </is>
      </c>
      <c r="B88" s="1" t="n">
        <v>44480</v>
      </c>
      <c r="C88" s="1" t="n">
        <v>45581</v>
      </c>
      <c r="D88" t="inlineStr">
        <is>
          <t>SKÅNE LÄN</t>
        </is>
      </c>
      <c r="E88" t="inlineStr">
        <is>
          <t>HÖÖR</t>
        </is>
      </c>
      <c r="G88" t="n">
        <v>13.3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59137-2021</t>
        </is>
      </c>
      <c r="B89" s="1" t="n">
        <v>44490</v>
      </c>
      <c r="C89" s="1" t="n">
        <v>45581</v>
      </c>
      <c r="D89" t="inlineStr">
        <is>
          <t>SKÅNE LÄN</t>
        </is>
      </c>
      <c r="E89" t="inlineStr">
        <is>
          <t>HÖÖR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65203-2021</t>
        </is>
      </c>
      <c r="B90" s="1" t="n">
        <v>44515</v>
      </c>
      <c r="C90" s="1" t="n">
        <v>45581</v>
      </c>
      <c r="D90" t="inlineStr">
        <is>
          <t>SKÅNE LÄN</t>
        </is>
      </c>
      <c r="E90" t="inlineStr">
        <is>
          <t>HÖÖR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65200-2021</t>
        </is>
      </c>
      <c r="B91" s="1" t="n">
        <v>44515</v>
      </c>
      <c r="C91" s="1" t="n">
        <v>45581</v>
      </c>
      <c r="D91" t="inlineStr">
        <is>
          <t>SKÅNE LÄN</t>
        </is>
      </c>
      <c r="E91" t="inlineStr">
        <is>
          <t>HÖÖR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70982-2021</t>
        </is>
      </c>
      <c r="B92" s="1" t="n">
        <v>44538</v>
      </c>
      <c r="C92" s="1" t="n">
        <v>45581</v>
      </c>
      <c r="D92" t="inlineStr">
        <is>
          <t>SKÅNE LÄN</t>
        </is>
      </c>
      <c r="E92" t="inlineStr">
        <is>
          <t>HÖÖR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70984-2021</t>
        </is>
      </c>
      <c r="B93" s="1" t="n">
        <v>44538</v>
      </c>
      <c r="C93" s="1" t="n">
        <v>45581</v>
      </c>
      <c r="D93" t="inlineStr">
        <is>
          <t>SKÅNE LÄN</t>
        </is>
      </c>
      <c r="E93" t="inlineStr">
        <is>
          <t>HÖÖR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73544-2021</t>
        </is>
      </c>
      <c r="B94" s="1" t="n">
        <v>44551</v>
      </c>
      <c r="C94" s="1" t="n">
        <v>45581</v>
      </c>
      <c r="D94" t="inlineStr">
        <is>
          <t>SKÅNE LÄN</t>
        </is>
      </c>
      <c r="E94" t="inlineStr">
        <is>
          <t>HÖÖR</t>
        </is>
      </c>
      <c r="F94" t="inlineStr">
        <is>
          <t>Övriga statliga verk och myndigheter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1475-2022</t>
        </is>
      </c>
      <c r="B95" s="1" t="n">
        <v>44573</v>
      </c>
      <c r="C95" s="1" t="n">
        <v>45581</v>
      </c>
      <c r="D95" t="inlineStr">
        <is>
          <t>SKÅNE LÄN</t>
        </is>
      </c>
      <c r="E95" t="inlineStr">
        <is>
          <t>HÖÖR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3480-2022</t>
        </is>
      </c>
      <c r="B96" s="1" t="n">
        <v>44585</v>
      </c>
      <c r="C96" s="1" t="n">
        <v>45581</v>
      </c>
      <c r="D96" t="inlineStr">
        <is>
          <t>SKÅNE LÄN</t>
        </is>
      </c>
      <c r="E96" t="inlineStr">
        <is>
          <t>HÖÖR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4928-2022</t>
        </is>
      </c>
      <c r="B97" s="1" t="n">
        <v>44593</v>
      </c>
      <c r="C97" s="1" t="n">
        <v>45581</v>
      </c>
      <c r="D97" t="inlineStr">
        <is>
          <t>SKÅNE LÄN</t>
        </is>
      </c>
      <c r="E97" t="inlineStr">
        <is>
          <t>HÖÖR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5138-2022</t>
        </is>
      </c>
      <c r="B98" s="1" t="n">
        <v>44594</v>
      </c>
      <c r="C98" s="1" t="n">
        <v>45581</v>
      </c>
      <c r="D98" t="inlineStr">
        <is>
          <t>SKÅNE LÄN</t>
        </is>
      </c>
      <c r="E98" t="inlineStr">
        <is>
          <t>HÖÖR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5570-2022</t>
        </is>
      </c>
      <c r="B99" s="1" t="n">
        <v>44595</v>
      </c>
      <c r="C99" s="1" t="n">
        <v>45581</v>
      </c>
      <c r="D99" t="inlineStr">
        <is>
          <t>SKÅNE LÄN</t>
        </is>
      </c>
      <c r="E99" t="inlineStr">
        <is>
          <t>HÖÖR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5730-2022</t>
        </is>
      </c>
      <c r="B100" s="1" t="n">
        <v>44596</v>
      </c>
      <c r="C100" s="1" t="n">
        <v>45581</v>
      </c>
      <c r="D100" t="inlineStr">
        <is>
          <t>SKÅNE LÄN</t>
        </is>
      </c>
      <c r="E100" t="inlineStr">
        <is>
          <t>HÖÖR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5726-2022</t>
        </is>
      </c>
      <c r="B101" s="1" t="n">
        <v>44596</v>
      </c>
      <c r="C101" s="1" t="n">
        <v>45581</v>
      </c>
      <c r="D101" t="inlineStr">
        <is>
          <t>SKÅNE LÄN</t>
        </is>
      </c>
      <c r="E101" t="inlineStr">
        <is>
          <t>HÖÖR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6042-2022</t>
        </is>
      </c>
      <c r="B102" s="1" t="n">
        <v>44599</v>
      </c>
      <c r="C102" s="1" t="n">
        <v>45581</v>
      </c>
      <c r="D102" t="inlineStr">
        <is>
          <t>SKÅNE LÄN</t>
        </is>
      </c>
      <c r="E102" t="inlineStr">
        <is>
          <t>HÖÖR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6473-2022</t>
        </is>
      </c>
      <c r="B103" s="1" t="n">
        <v>44601</v>
      </c>
      <c r="C103" s="1" t="n">
        <v>45581</v>
      </c>
      <c r="D103" t="inlineStr">
        <is>
          <t>SKÅNE LÄN</t>
        </is>
      </c>
      <c r="E103" t="inlineStr">
        <is>
          <t>HÖÖR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7782-2022</t>
        </is>
      </c>
      <c r="B104" s="1" t="n">
        <v>44608</v>
      </c>
      <c r="C104" s="1" t="n">
        <v>45581</v>
      </c>
      <c r="D104" t="inlineStr">
        <is>
          <t>SKÅNE LÄN</t>
        </is>
      </c>
      <c r="E104" t="inlineStr">
        <is>
          <t>HÖÖR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8443-2022</t>
        </is>
      </c>
      <c r="B105" s="1" t="n">
        <v>44612</v>
      </c>
      <c r="C105" s="1" t="n">
        <v>45581</v>
      </c>
      <c r="D105" t="inlineStr">
        <is>
          <t>SKÅNE LÄN</t>
        </is>
      </c>
      <c r="E105" t="inlineStr">
        <is>
          <t>HÖÖR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8445-2022</t>
        </is>
      </c>
      <c r="B106" s="1" t="n">
        <v>44612</v>
      </c>
      <c r="C106" s="1" t="n">
        <v>45581</v>
      </c>
      <c r="D106" t="inlineStr">
        <is>
          <t>SKÅNE LÄN</t>
        </is>
      </c>
      <c r="E106" t="inlineStr">
        <is>
          <t>HÖÖR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9208-2022</t>
        </is>
      </c>
      <c r="B107" s="1" t="n">
        <v>44616</v>
      </c>
      <c r="C107" s="1" t="n">
        <v>45581</v>
      </c>
      <c r="D107" t="inlineStr">
        <is>
          <t>SKÅNE LÄN</t>
        </is>
      </c>
      <c r="E107" t="inlineStr">
        <is>
          <t>HÖÖR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10007-2022</t>
        </is>
      </c>
      <c r="B108" s="1" t="n">
        <v>44621</v>
      </c>
      <c r="C108" s="1" t="n">
        <v>45581</v>
      </c>
      <c r="D108" t="inlineStr">
        <is>
          <t>SKÅNE LÄN</t>
        </is>
      </c>
      <c r="E108" t="inlineStr">
        <is>
          <t>HÖÖR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11186-2022</t>
        </is>
      </c>
      <c r="B109" s="1" t="n">
        <v>44629</v>
      </c>
      <c r="C109" s="1" t="n">
        <v>45581</v>
      </c>
      <c r="D109" t="inlineStr">
        <is>
          <t>SKÅNE LÄN</t>
        </is>
      </c>
      <c r="E109" t="inlineStr">
        <is>
          <t>HÖÖR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13192-2022</t>
        </is>
      </c>
      <c r="B110" s="1" t="n">
        <v>44644</v>
      </c>
      <c r="C110" s="1" t="n">
        <v>45581</v>
      </c>
      <c r="D110" t="inlineStr">
        <is>
          <t>SKÅNE LÄN</t>
        </is>
      </c>
      <c r="E110" t="inlineStr">
        <is>
          <t>HÖÖR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16663-2022</t>
        </is>
      </c>
      <c r="B111" s="1" t="n">
        <v>44672</v>
      </c>
      <c r="C111" s="1" t="n">
        <v>45581</v>
      </c>
      <c r="D111" t="inlineStr">
        <is>
          <t>SKÅNE LÄN</t>
        </is>
      </c>
      <c r="E111" t="inlineStr">
        <is>
          <t>HÖÖR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16665-2022</t>
        </is>
      </c>
      <c r="B112" s="1" t="n">
        <v>44672</v>
      </c>
      <c r="C112" s="1" t="n">
        <v>45581</v>
      </c>
      <c r="D112" t="inlineStr">
        <is>
          <t>SKÅNE LÄN</t>
        </is>
      </c>
      <c r="E112" t="inlineStr">
        <is>
          <t>HÖÖR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18345-2022</t>
        </is>
      </c>
      <c r="B113" s="1" t="n">
        <v>44685</v>
      </c>
      <c r="C113" s="1" t="n">
        <v>45581</v>
      </c>
      <c r="D113" t="inlineStr">
        <is>
          <t>SKÅNE LÄN</t>
        </is>
      </c>
      <c r="E113" t="inlineStr">
        <is>
          <t>HÖÖR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18348-2022</t>
        </is>
      </c>
      <c r="B114" s="1" t="n">
        <v>44685</v>
      </c>
      <c r="C114" s="1" t="n">
        <v>45581</v>
      </c>
      <c r="D114" t="inlineStr">
        <is>
          <t>SKÅNE LÄN</t>
        </is>
      </c>
      <c r="E114" t="inlineStr">
        <is>
          <t>HÖÖR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18939-2022</t>
        </is>
      </c>
      <c r="B115" s="1" t="n">
        <v>44690</v>
      </c>
      <c r="C115" s="1" t="n">
        <v>45581</v>
      </c>
      <c r="D115" t="inlineStr">
        <is>
          <t>SKÅNE LÄN</t>
        </is>
      </c>
      <c r="E115" t="inlineStr">
        <is>
          <t>HÖÖR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22392-2022</t>
        </is>
      </c>
      <c r="B116" s="1" t="n">
        <v>44713</v>
      </c>
      <c r="C116" s="1" t="n">
        <v>45581</v>
      </c>
      <c r="D116" t="inlineStr">
        <is>
          <t>SKÅNE LÄN</t>
        </is>
      </c>
      <c r="E116" t="inlineStr">
        <is>
          <t>HÖÖR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25934-2022</t>
        </is>
      </c>
      <c r="B117" s="1" t="n">
        <v>44734</v>
      </c>
      <c r="C117" s="1" t="n">
        <v>45581</v>
      </c>
      <c r="D117" t="inlineStr">
        <is>
          <t>SKÅNE LÄN</t>
        </is>
      </c>
      <c r="E117" t="inlineStr">
        <is>
          <t>HÖÖR</t>
        </is>
      </c>
      <c r="F117" t="inlineStr">
        <is>
          <t>Övriga statliga verk och myndigheter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26033-2022</t>
        </is>
      </c>
      <c r="B118" s="1" t="n">
        <v>44734</v>
      </c>
      <c r="C118" s="1" t="n">
        <v>45581</v>
      </c>
      <c r="D118" t="inlineStr">
        <is>
          <t>SKÅNE LÄN</t>
        </is>
      </c>
      <c r="E118" t="inlineStr">
        <is>
          <t>HÖÖR</t>
        </is>
      </c>
      <c r="F118" t="inlineStr">
        <is>
          <t>Övriga statliga verk och myndigheter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27233-2022</t>
        </is>
      </c>
      <c r="B119" s="1" t="n">
        <v>44741</v>
      </c>
      <c r="C119" s="1" t="n">
        <v>45581</v>
      </c>
      <c r="D119" t="inlineStr">
        <is>
          <t>SKÅNE LÄN</t>
        </is>
      </c>
      <c r="E119" t="inlineStr">
        <is>
          <t>HÖÖR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27219-2022</t>
        </is>
      </c>
      <c r="B120" s="1" t="n">
        <v>44741</v>
      </c>
      <c r="C120" s="1" t="n">
        <v>45581</v>
      </c>
      <c r="D120" t="inlineStr">
        <is>
          <t>SKÅNE LÄN</t>
        </is>
      </c>
      <c r="E120" t="inlineStr">
        <is>
          <t>HÖÖR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30645-2022</t>
        </is>
      </c>
      <c r="B121" s="1" t="n">
        <v>44763</v>
      </c>
      <c r="C121" s="1" t="n">
        <v>45581</v>
      </c>
      <c r="D121" t="inlineStr">
        <is>
          <t>SKÅNE LÄN</t>
        </is>
      </c>
      <c r="E121" t="inlineStr">
        <is>
          <t>HÖÖR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31701-2022</t>
        </is>
      </c>
      <c r="B122" s="1" t="n">
        <v>44776</v>
      </c>
      <c r="C122" s="1" t="n">
        <v>45581</v>
      </c>
      <c r="D122" t="inlineStr">
        <is>
          <t>SKÅNE LÄN</t>
        </is>
      </c>
      <c r="E122" t="inlineStr">
        <is>
          <t>HÖÖR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35438-2022</t>
        </is>
      </c>
      <c r="B123" s="1" t="n">
        <v>44798</v>
      </c>
      <c r="C123" s="1" t="n">
        <v>45581</v>
      </c>
      <c r="D123" t="inlineStr">
        <is>
          <t>SKÅNE LÄN</t>
        </is>
      </c>
      <c r="E123" t="inlineStr">
        <is>
          <t>HÖÖR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39266-2022</t>
        </is>
      </c>
      <c r="B124" s="1" t="n">
        <v>44817</v>
      </c>
      <c r="C124" s="1" t="n">
        <v>45581</v>
      </c>
      <c r="D124" t="inlineStr">
        <is>
          <t>SKÅNE LÄN</t>
        </is>
      </c>
      <c r="E124" t="inlineStr">
        <is>
          <t>HÖÖR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40886-2022</t>
        </is>
      </c>
      <c r="B125" s="1" t="n">
        <v>44820</v>
      </c>
      <c r="C125" s="1" t="n">
        <v>45581</v>
      </c>
      <c r="D125" t="inlineStr">
        <is>
          <t>SKÅNE LÄN</t>
        </is>
      </c>
      <c r="E125" t="inlineStr">
        <is>
          <t>HÖÖR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42692-2022</t>
        </is>
      </c>
      <c r="B126" s="1" t="n">
        <v>44832</v>
      </c>
      <c r="C126" s="1" t="n">
        <v>45581</v>
      </c>
      <c r="D126" t="inlineStr">
        <is>
          <t>SKÅNE LÄN</t>
        </is>
      </c>
      <c r="E126" t="inlineStr">
        <is>
          <t>HÖÖR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43884-2022</t>
        </is>
      </c>
      <c r="B127" s="1" t="n">
        <v>44838</v>
      </c>
      <c r="C127" s="1" t="n">
        <v>45581</v>
      </c>
      <c r="D127" t="inlineStr">
        <is>
          <t>SKÅNE LÄN</t>
        </is>
      </c>
      <c r="E127" t="inlineStr">
        <is>
          <t>HÖÖR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43897-2022</t>
        </is>
      </c>
      <c r="B128" s="1" t="n">
        <v>44838</v>
      </c>
      <c r="C128" s="1" t="n">
        <v>45581</v>
      </c>
      <c r="D128" t="inlineStr">
        <is>
          <t>SKÅNE LÄN</t>
        </is>
      </c>
      <c r="E128" t="inlineStr">
        <is>
          <t>HÖÖR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43996-2022</t>
        </is>
      </c>
      <c r="B129" s="1" t="n">
        <v>44838</v>
      </c>
      <c r="C129" s="1" t="n">
        <v>45581</v>
      </c>
      <c r="D129" t="inlineStr">
        <is>
          <t>SKÅNE LÄN</t>
        </is>
      </c>
      <c r="E129" t="inlineStr">
        <is>
          <t>HÖÖR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43871-2022</t>
        </is>
      </c>
      <c r="B130" s="1" t="n">
        <v>44838</v>
      </c>
      <c r="C130" s="1" t="n">
        <v>45581</v>
      </c>
      <c r="D130" t="inlineStr">
        <is>
          <t>SKÅNE LÄN</t>
        </is>
      </c>
      <c r="E130" t="inlineStr">
        <is>
          <t>HÖÖR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43877-2022</t>
        </is>
      </c>
      <c r="B131" s="1" t="n">
        <v>44838</v>
      </c>
      <c r="C131" s="1" t="n">
        <v>45581</v>
      </c>
      <c r="D131" t="inlineStr">
        <is>
          <t>SKÅNE LÄN</t>
        </is>
      </c>
      <c r="E131" t="inlineStr">
        <is>
          <t>HÖÖR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43891-2022</t>
        </is>
      </c>
      <c r="B132" s="1" t="n">
        <v>44838</v>
      </c>
      <c r="C132" s="1" t="n">
        <v>45581</v>
      </c>
      <c r="D132" t="inlineStr">
        <is>
          <t>SKÅNE LÄN</t>
        </is>
      </c>
      <c r="E132" t="inlineStr">
        <is>
          <t>HÖÖR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47136-2022</t>
        </is>
      </c>
      <c r="B133" s="1" t="n">
        <v>44848</v>
      </c>
      <c r="C133" s="1" t="n">
        <v>45581</v>
      </c>
      <c r="D133" t="inlineStr">
        <is>
          <t>SKÅNE LÄN</t>
        </is>
      </c>
      <c r="E133" t="inlineStr">
        <is>
          <t>HÖÖR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47222-2022</t>
        </is>
      </c>
      <c r="B134" s="1" t="n">
        <v>44852</v>
      </c>
      <c r="C134" s="1" t="n">
        <v>45581</v>
      </c>
      <c r="D134" t="inlineStr">
        <is>
          <t>SKÅNE LÄN</t>
        </is>
      </c>
      <c r="E134" t="inlineStr">
        <is>
          <t>HÖÖR</t>
        </is>
      </c>
      <c r="G134" t="n">
        <v>12.3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50196-2022</t>
        </is>
      </c>
      <c r="B135" s="1" t="n">
        <v>44860</v>
      </c>
      <c r="C135" s="1" t="n">
        <v>45581</v>
      </c>
      <c r="D135" t="inlineStr">
        <is>
          <t>SKÅNE LÄN</t>
        </is>
      </c>
      <c r="E135" t="inlineStr">
        <is>
          <t>HÖÖR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49630-2022</t>
        </is>
      </c>
      <c r="B136" s="1" t="n">
        <v>44862</v>
      </c>
      <c r="C136" s="1" t="n">
        <v>45581</v>
      </c>
      <c r="D136" t="inlineStr">
        <is>
          <t>SKÅNE LÄN</t>
        </is>
      </c>
      <c r="E136" t="inlineStr">
        <is>
          <t>HÖÖR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53455-2022</t>
        </is>
      </c>
      <c r="B137" s="1" t="n">
        <v>44874</v>
      </c>
      <c r="C137" s="1" t="n">
        <v>45581</v>
      </c>
      <c r="D137" t="inlineStr">
        <is>
          <t>SKÅNE LÄN</t>
        </is>
      </c>
      <c r="E137" t="inlineStr">
        <is>
          <t>HÖÖR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53460-2022</t>
        </is>
      </c>
      <c r="B138" s="1" t="n">
        <v>44879</v>
      </c>
      <c r="C138" s="1" t="n">
        <v>45581</v>
      </c>
      <c r="D138" t="inlineStr">
        <is>
          <t>SKÅNE LÄN</t>
        </is>
      </c>
      <c r="E138" t="inlineStr">
        <is>
          <t>HÖÖR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54563-2022</t>
        </is>
      </c>
      <c r="B139" s="1" t="n">
        <v>44882</v>
      </c>
      <c r="C139" s="1" t="n">
        <v>45581</v>
      </c>
      <c r="D139" t="inlineStr">
        <is>
          <t>SKÅNE LÄN</t>
        </is>
      </c>
      <c r="E139" t="inlineStr">
        <is>
          <t>HÖÖR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54738-2022</t>
        </is>
      </c>
      <c r="B140" s="1" t="n">
        <v>44883</v>
      </c>
      <c r="C140" s="1" t="n">
        <v>45581</v>
      </c>
      <c r="D140" t="inlineStr">
        <is>
          <t>SKÅNE LÄN</t>
        </is>
      </c>
      <c r="E140" t="inlineStr">
        <is>
          <t>HÖÖR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54753-2022</t>
        </is>
      </c>
      <c r="B141" s="1" t="n">
        <v>44883</v>
      </c>
      <c r="C141" s="1" t="n">
        <v>45581</v>
      </c>
      <c r="D141" t="inlineStr">
        <is>
          <t>SKÅNE LÄN</t>
        </is>
      </c>
      <c r="E141" t="inlineStr">
        <is>
          <t>HÖÖR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56342-2022</t>
        </is>
      </c>
      <c r="B142" s="1" t="n">
        <v>44887</v>
      </c>
      <c r="C142" s="1" t="n">
        <v>45581</v>
      </c>
      <c r="D142" t="inlineStr">
        <is>
          <t>SKÅNE LÄN</t>
        </is>
      </c>
      <c r="E142" t="inlineStr">
        <is>
          <t>HÖÖR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56332-2022</t>
        </is>
      </c>
      <c r="B143" s="1" t="n">
        <v>44887</v>
      </c>
      <c r="C143" s="1" t="n">
        <v>45581</v>
      </c>
      <c r="D143" t="inlineStr">
        <is>
          <t>SKÅNE LÄN</t>
        </is>
      </c>
      <c r="E143" t="inlineStr">
        <is>
          <t>HÖÖR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56596-2022</t>
        </is>
      </c>
      <c r="B144" s="1" t="n">
        <v>44888</v>
      </c>
      <c r="C144" s="1" t="n">
        <v>45581</v>
      </c>
      <c r="D144" t="inlineStr">
        <is>
          <t>SKÅNE LÄN</t>
        </is>
      </c>
      <c r="E144" t="inlineStr">
        <is>
          <t>HÖÖR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56231-2022</t>
        </is>
      </c>
      <c r="B145" s="1" t="n">
        <v>44890</v>
      </c>
      <c r="C145" s="1" t="n">
        <v>45581</v>
      </c>
      <c r="D145" t="inlineStr">
        <is>
          <t>SKÅNE LÄN</t>
        </is>
      </c>
      <c r="E145" t="inlineStr">
        <is>
          <t>HÖÖR</t>
        </is>
      </c>
      <c r="G145" t="n">
        <v>7.7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57461-2022</t>
        </is>
      </c>
      <c r="B146" s="1" t="n">
        <v>44896</v>
      </c>
      <c r="C146" s="1" t="n">
        <v>45581</v>
      </c>
      <c r="D146" t="inlineStr">
        <is>
          <t>SKÅNE LÄN</t>
        </is>
      </c>
      <c r="E146" t="inlineStr">
        <is>
          <t>HÖÖR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59702-2022</t>
        </is>
      </c>
      <c r="B147" s="1" t="n">
        <v>44908</v>
      </c>
      <c r="C147" s="1" t="n">
        <v>45581</v>
      </c>
      <c r="D147" t="inlineStr">
        <is>
          <t>SKÅNE LÄN</t>
        </is>
      </c>
      <c r="E147" t="inlineStr">
        <is>
          <t>HÖÖR</t>
        </is>
      </c>
      <c r="F147" t="inlineStr">
        <is>
          <t>Sveaskog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59947-2022</t>
        </is>
      </c>
      <c r="B148" s="1" t="n">
        <v>44909</v>
      </c>
      <c r="C148" s="1" t="n">
        <v>45581</v>
      </c>
      <c r="D148" t="inlineStr">
        <is>
          <t>SKÅNE LÄN</t>
        </is>
      </c>
      <c r="E148" t="inlineStr">
        <is>
          <t>HÖÖR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60425-2022</t>
        </is>
      </c>
      <c r="B149" s="1" t="n">
        <v>44911</v>
      </c>
      <c r="C149" s="1" t="n">
        <v>45581</v>
      </c>
      <c r="D149" t="inlineStr">
        <is>
          <t>SKÅNE LÄN</t>
        </is>
      </c>
      <c r="E149" t="inlineStr">
        <is>
          <t>HÖÖR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60427-2022</t>
        </is>
      </c>
      <c r="B150" s="1" t="n">
        <v>44911</v>
      </c>
      <c r="C150" s="1" t="n">
        <v>45581</v>
      </c>
      <c r="D150" t="inlineStr">
        <is>
          <t>SKÅNE LÄN</t>
        </is>
      </c>
      <c r="E150" t="inlineStr">
        <is>
          <t>HÖÖR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61087-2022</t>
        </is>
      </c>
      <c r="B151" s="1" t="n">
        <v>44915</v>
      </c>
      <c r="C151" s="1" t="n">
        <v>45581</v>
      </c>
      <c r="D151" t="inlineStr">
        <is>
          <t>SKÅNE LÄN</t>
        </is>
      </c>
      <c r="E151" t="inlineStr">
        <is>
          <t>HÖÖR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7306-2023</t>
        </is>
      </c>
      <c r="B152" s="1" t="n">
        <v>44970</v>
      </c>
      <c r="C152" s="1" t="n">
        <v>45581</v>
      </c>
      <c r="D152" t="inlineStr">
        <is>
          <t>SKÅNE LÄN</t>
        </is>
      </c>
      <c r="E152" t="inlineStr">
        <is>
          <t>HÖÖR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8295-2023</t>
        </is>
      </c>
      <c r="B153" s="1" t="n">
        <v>44974</v>
      </c>
      <c r="C153" s="1" t="n">
        <v>45581</v>
      </c>
      <c r="D153" t="inlineStr">
        <is>
          <t>SKÅNE LÄN</t>
        </is>
      </c>
      <c r="E153" t="inlineStr">
        <is>
          <t>HÖÖR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10452-2023</t>
        </is>
      </c>
      <c r="B154" s="1" t="n">
        <v>44981</v>
      </c>
      <c r="C154" s="1" t="n">
        <v>45581</v>
      </c>
      <c r="D154" t="inlineStr">
        <is>
          <t>SKÅNE LÄN</t>
        </is>
      </c>
      <c r="E154" t="inlineStr">
        <is>
          <t>HÖÖR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9701-2023</t>
        </is>
      </c>
      <c r="B155" s="1" t="n">
        <v>44984</v>
      </c>
      <c r="C155" s="1" t="n">
        <v>45581</v>
      </c>
      <c r="D155" t="inlineStr">
        <is>
          <t>SKÅNE LÄN</t>
        </is>
      </c>
      <c r="E155" t="inlineStr">
        <is>
          <t>HÖÖR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10207-2023</t>
        </is>
      </c>
      <c r="B156" s="1" t="n">
        <v>44986</v>
      </c>
      <c r="C156" s="1" t="n">
        <v>45581</v>
      </c>
      <c r="D156" t="inlineStr">
        <is>
          <t>SKÅNE LÄN</t>
        </is>
      </c>
      <c r="E156" t="inlineStr">
        <is>
          <t>HÖÖR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10892-2023</t>
        </is>
      </c>
      <c r="B157" s="1" t="n">
        <v>44991</v>
      </c>
      <c r="C157" s="1" t="n">
        <v>45581</v>
      </c>
      <c r="D157" t="inlineStr">
        <is>
          <t>SKÅNE LÄN</t>
        </is>
      </c>
      <c r="E157" t="inlineStr">
        <is>
          <t>HÖÖR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12842-2023</t>
        </is>
      </c>
      <c r="B158" s="1" t="n">
        <v>45001</v>
      </c>
      <c r="C158" s="1" t="n">
        <v>45581</v>
      </c>
      <c r="D158" t="inlineStr">
        <is>
          <t>SKÅNE LÄN</t>
        </is>
      </c>
      <c r="E158" t="inlineStr">
        <is>
          <t>HÖÖR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12833-2023</t>
        </is>
      </c>
      <c r="B159" s="1" t="n">
        <v>45001</v>
      </c>
      <c r="C159" s="1" t="n">
        <v>45581</v>
      </c>
      <c r="D159" t="inlineStr">
        <is>
          <t>SKÅNE LÄN</t>
        </is>
      </c>
      <c r="E159" t="inlineStr">
        <is>
          <t>HÖÖR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12855-2023</t>
        </is>
      </c>
      <c r="B160" s="1" t="n">
        <v>45001</v>
      </c>
      <c r="C160" s="1" t="n">
        <v>45581</v>
      </c>
      <c r="D160" t="inlineStr">
        <is>
          <t>SKÅNE LÄN</t>
        </is>
      </c>
      <c r="E160" t="inlineStr">
        <is>
          <t>HÖÖR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13291-2023</t>
        </is>
      </c>
      <c r="B161" s="1" t="n">
        <v>45004</v>
      </c>
      <c r="C161" s="1" t="n">
        <v>45581</v>
      </c>
      <c r="D161" t="inlineStr">
        <is>
          <t>SKÅNE LÄN</t>
        </is>
      </c>
      <c r="E161" t="inlineStr">
        <is>
          <t>HÖÖR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13429-2023</t>
        </is>
      </c>
      <c r="B162" s="1" t="n">
        <v>45005</v>
      </c>
      <c r="C162" s="1" t="n">
        <v>45581</v>
      </c>
      <c r="D162" t="inlineStr">
        <is>
          <t>SKÅNE LÄN</t>
        </is>
      </c>
      <c r="E162" t="inlineStr">
        <is>
          <t>HÖÖR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13432-2023</t>
        </is>
      </c>
      <c r="B163" s="1" t="n">
        <v>45005</v>
      </c>
      <c r="C163" s="1" t="n">
        <v>45581</v>
      </c>
      <c r="D163" t="inlineStr">
        <is>
          <t>SKÅNE LÄN</t>
        </is>
      </c>
      <c r="E163" t="inlineStr">
        <is>
          <t>HÖÖR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13437-2023</t>
        </is>
      </c>
      <c r="B164" s="1" t="n">
        <v>45005</v>
      </c>
      <c r="C164" s="1" t="n">
        <v>45581</v>
      </c>
      <c r="D164" t="inlineStr">
        <is>
          <t>SKÅNE LÄN</t>
        </is>
      </c>
      <c r="E164" t="inlineStr">
        <is>
          <t>HÖÖR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14515-2023</t>
        </is>
      </c>
      <c r="B165" s="1" t="n">
        <v>45012</v>
      </c>
      <c r="C165" s="1" t="n">
        <v>45581</v>
      </c>
      <c r="D165" t="inlineStr">
        <is>
          <t>SKÅNE LÄN</t>
        </is>
      </c>
      <c r="E165" t="inlineStr">
        <is>
          <t>HÖÖR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14514-2023</t>
        </is>
      </c>
      <c r="B166" s="1" t="n">
        <v>45012</v>
      </c>
      <c r="C166" s="1" t="n">
        <v>45581</v>
      </c>
      <c r="D166" t="inlineStr">
        <is>
          <t>SKÅNE LÄN</t>
        </is>
      </c>
      <c r="E166" t="inlineStr">
        <is>
          <t>HÖÖR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17723-2023</t>
        </is>
      </c>
      <c r="B167" s="1" t="n">
        <v>45037</v>
      </c>
      <c r="C167" s="1" t="n">
        <v>45581</v>
      </c>
      <c r="D167" t="inlineStr">
        <is>
          <t>SKÅNE LÄN</t>
        </is>
      </c>
      <c r="E167" t="inlineStr">
        <is>
          <t>HÖÖR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18044-2023</t>
        </is>
      </c>
      <c r="B168" s="1" t="n">
        <v>45040</v>
      </c>
      <c r="C168" s="1" t="n">
        <v>45581</v>
      </c>
      <c r="D168" t="inlineStr">
        <is>
          <t>SKÅNE LÄN</t>
        </is>
      </c>
      <c r="E168" t="inlineStr">
        <is>
          <t>HÖÖR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18246-2023</t>
        </is>
      </c>
      <c r="B169" s="1" t="n">
        <v>45041</v>
      </c>
      <c r="C169" s="1" t="n">
        <v>45581</v>
      </c>
      <c r="D169" t="inlineStr">
        <is>
          <t>SKÅNE LÄN</t>
        </is>
      </c>
      <c r="E169" t="inlineStr">
        <is>
          <t>HÖÖR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19302-2023</t>
        </is>
      </c>
      <c r="B170" s="1" t="n">
        <v>45049</v>
      </c>
      <c r="C170" s="1" t="n">
        <v>45581</v>
      </c>
      <c r="D170" t="inlineStr">
        <is>
          <t>SKÅNE LÄN</t>
        </is>
      </c>
      <c r="E170" t="inlineStr">
        <is>
          <t>HÖÖR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19510-2023</t>
        </is>
      </c>
      <c r="B171" s="1" t="n">
        <v>45050</v>
      </c>
      <c r="C171" s="1" t="n">
        <v>45581</v>
      </c>
      <c r="D171" t="inlineStr">
        <is>
          <t>SKÅNE LÄN</t>
        </is>
      </c>
      <c r="E171" t="inlineStr">
        <is>
          <t>HÖÖR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19633-2023</t>
        </is>
      </c>
      <c r="B172" s="1" t="n">
        <v>45051</v>
      </c>
      <c r="C172" s="1" t="n">
        <v>45581</v>
      </c>
      <c r="D172" t="inlineStr">
        <is>
          <t>SKÅNE LÄN</t>
        </is>
      </c>
      <c r="E172" t="inlineStr">
        <is>
          <t>HÖÖR</t>
        </is>
      </c>
      <c r="F172" t="inlineStr">
        <is>
          <t>Sveaskog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19634-2023</t>
        </is>
      </c>
      <c r="B173" s="1" t="n">
        <v>45051</v>
      </c>
      <c r="C173" s="1" t="n">
        <v>45581</v>
      </c>
      <c r="D173" t="inlineStr">
        <is>
          <t>SKÅNE LÄN</t>
        </is>
      </c>
      <c r="E173" t="inlineStr">
        <is>
          <t>HÖÖR</t>
        </is>
      </c>
      <c r="F173" t="inlineStr">
        <is>
          <t>Sveaskog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20512-2023</t>
        </is>
      </c>
      <c r="B174" s="1" t="n">
        <v>45057</v>
      </c>
      <c r="C174" s="1" t="n">
        <v>45581</v>
      </c>
      <c r="D174" t="inlineStr">
        <is>
          <t>SKÅNE LÄN</t>
        </is>
      </c>
      <c r="E174" t="inlineStr">
        <is>
          <t>HÖÖR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21066-2023</t>
        </is>
      </c>
      <c r="B175" s="1" t="n">
        <v>45061</v>
      </c>
      <c r="C175" s="1" t="n">
        <v>45581</v>
      </c>
      <c r="D175" t="inlineStr">
        <is>
          <t>SKÅNE LÄN</t>
        </is>
      </c>
      <c r="E175" t="inlineStr">
        <is>
          <t>HÖÖR</t>
        </is>
      </c>
      <c r="F175" t="inlineStr">
        <is>
          <t>Sveaskog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21063-2023</t>
        </is>
      </c>
      <c r="B176" s="1" t="n">
        <v>45061</v>
      </c>
      <c r="C176" s="1" t="n">
        <v>45581</v>
      </c>
      <c r="D176" t="inlineStr">
        <is>
          <t>SKÅNE LÄN</t>
        </is>
      </c>
      <c r="E176" t="inlineStr">
        <is>
          <t>HÖÖR</t>
        </is>
      </c>
      <c r="F176" t="inlineStr">
        <is>
          <t>Sveaskog</t>
        </is>
      </c>
      <c r="G176" t="n">
        <v>17.9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25619-2023</t>
        </is>
      </c>
      <c r="B177" s="1" t="n">
        <v>45089</v>
      </c>
      <c r="C177" s="1" t="n">
        <v>45581</v>
      </c>
      <c r="D177" t="inlineStr">
        <is>
          <t>SKÅNE LÄN</t>
        </is>
      </c>
      <c r="E177" t="inlineStr">
        <is>
          <t>HÖÖR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26764-2023</t>
        </is>
      </c>
      <c r="B178" s="1" t="n">
        <v>45093</v>
      </c>
      <c r="C178" s="1" t="n">
        <v>45581</v>
      </c>
      <c r="D178" t="inlineStr">
        <is>
          <t>SKÅNE LÄN</t>
        </is>
      </c>
      <c r="E178" t="inlineStr">
        <is>
          <t>HÖÖR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26757-2023</t>
        </is>
      </c>
      <c r="B179" s="1" t="n">
        <v>45093</v>
      </c>
      <c r="C179" s="1" t="n">
        <v>45581</v>
      </c>
      <c r="D179" t="inlineStr">
        <is>
          <t>SKÅNE LÄN</t>
        </is>
      </c>
      <c r="E179" t="inlineStr">
        <is>
          <t>HÖÖR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27774-2023</t>
        </is>
      </c>
      <c r="B180" s="1" t="n">
        <v>45098</v>
      </c>
      <c r="C180" s="1" t="n">
        <v>45581</v>
      </c>
      <c r="D180" t="inlineStr">
        <is>
          <t>SKÅNE LÄN</t>
        </is>
      </c>
      <c r="E180" t="inlineStr">
        <is>
          <t>HÖÖR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27768-2023</t>
        </is>
      </c>
      <c r="B181" s="1" t="n">
        <v>45098</v>
      </c>
      <c r="C181" s="1" t="n">
        <v>45581</v>
      </c>
      <c r="D181" t="inlineStr">
        <is>
          <t>SKÅNE LÄN</t>
        </is>
      </c>
      <c r="E181" t="inlineStr">
        <is>
          <t>HÖÖR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28483-2023</t>
        </is>
      </c>
      <c r="B182" s="1" t="n">
        <v>45103</v>
      </c>
      <c r="C182" s="1" t="n">
        <v>45581</v>
      </c>
      <c r="D182" t="inlineStr">
        <is>
          <t>SKÅNE LÄN</t>
        </is>
      </c>
      <c r="E182" t="inlineStr">
        <is>
          <t>HÖÖR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30087-2023</t>
        </is>
      </c>
      <c r="B183" s="1" t="n">
        <v>45110</v>
      </c>
      <c r="C183" s="1" t="n">
        <v>45581</v>
      </c>
      <c r="D183" t="inlineStr">
        <is>
          <t>SKÅNE LÄN</t>
        </is>
      </c>
      <c r="E183" t="inlineStr">
        <is>
          <t>HÖÖR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30927-2023</t>
        </is>
      </c>
      <c r="B184" s="1" t="n">
        <v>45113</v>
      </c>
      <c r="C184" s="1" t="n">
        <v>45581</v>
      </c>
      <c r="D184" t="inlineStr">
        <is>
          <t>SKÅNE LÄN</t>
        </is>
      </c>
      <c r="E184" t="inlineStr">
        <is>
          <t>HÖÖR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30951-2023</t>
        </is>
      </c>
      <c r="B185" s="1" t="n">
        <v>45113</v>
      </c>
      <c r="C185" s="1" t="n">
        <v>45581</v>
      </c>
      <c r="D185" t="inlineStr">
        <is>
          <t>SKÅNE LÄN</t>
        </is>
      </c>
      <c r="E185" t="inlineStr">
        <is>
          <t>HÖÖR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31092-2023</t>
        </is>
      </c>
      <c r="B186" s="1" t="n">
        <v>45113</v>
      </c>
      <c r="C186" s="1" t="n">
        <v>45581</v>
      </c>
      <c r="D186" t="inlineStr">
        <is>
          <t>SKÅNE LÄN</t>
        </is>
      </c>
      <c r="E186" t="inlineStr">
        <is>
          <t>HÖÖR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34536-2023</t>
        </is>
      </c>
      <c r="B187" s="1" t="n">
        <v>45134</v>
      </c>
      <c r="C187" s="1" t="n">
        <v>45581</v>
      </c>
      <c r="D187" t="inlineStr">
        <is>
          <t>SKÅNE LÄN</t>
        </is>
      </c>
      <c r="E187" t="inlineStr">
        <is>
          <t>HÖÖR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36715-2023</t>
        </is>
      </c>
      <c r="B188" s="1" t="n">
        <v>45153</v>
      </c>
      <c r="C188" s="1" t="n">
        <v>45581</v>
      </c>
      <c r="D188" t="inlineStr">
        <is>
          <t>SKÅNE LÄN</t>
        </is>
      </c>
      <c r="E188" t="inlineStr">
        <is>
          <t>HÖÖR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36884-2023</t>
        </is>
      </c>
      <c r="B189" s="1" t="n">
        <v>45154</v>
      </c>
      <c r="C189" s="1" t="n">
        <v>45581</v>
      </c>
      <c r="D189" t="inlineStr">
        <is>
          <t>SKÅNE LÄN</t>
        </is>
      </c>
      <c r="E189" t="inlineStr">
        <is>
          <t>HÖÖR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37375-2023</t>
        </is>
      </c>
      <c r="B190" s="1" t="n">
        <v>45156</v>
      </c>
      <c r="C190" s="1" t="n">
        <v>45581</v>
      </c>
      <c r="D190" t="inlineStr">
        <is>
          <t>SKÅNE LÄN</t>
        </is>
      </c>
      <c r="E190" t="inlineStr">
        <is>
          <t>HÖÖR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37382-2023</t>
        </is>
      </c>
      <c r="B191" s="1" t="n">
        <v>45156</v>
      </c>
      <c r="C191" s="1" t="n">
        <v>45581</v>
      </c>
      <c r="D191" t="inlineStr">
        <is>
          <t>SKÅNE LÄN</t>
        </is>
      </c>
      <c r="E191" t="inlineStr">
        <is>
          <t>HÖÖR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37675-2023</t>
        </is>
      </c>
      <c r="B192" s="1" t="n">
        <v>45159</v>
      </c>
      <c r="C192" s="1" t="n">
        <v>45581</v>
      </c>
      <c r="D192" t="inlineStr">
        <is>
          <t>SKÅNE LÄN</t>
        </is>
      </c>
      <c r="E192" t="inlineStr">
        <is>
          <t>HÖÖR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38139-2023</t>
        </is>
      </c>
      <c r="B193" s="1" t="n">
        <v>45160</v>
      </c>
      <c r="C193" s="1" t="n">
        <v>45581</v>
      </c>
      <c r="D193" t="inlineStr">
        <is>
          <t>SKÅNE LÄN</t>
        </is>
      </c>
      <c r="E193" t="inlineStr">
        <is>
          <t>HÖÖR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39585-2023</t>
        </is>
      </c>
      <c r="B194" s="1" t="n">
        <v>45167</v>
      </c>
      <c r="C194" s="1" t="n">
        <v>45581</v>
      </c>
      <c r="D194" t="inlineStr">
        <is>
          <t>SKÅNE LÄN</t>
        </is>
      </c>
      <c r="E194" t="inlineStr">
        <is>
          <t>HÖÖR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39603-2023</t>
        </is>
      </c>
      <c r="B195" s="1" t="n">
        <v>45167</v>
      </c>
      <c r="C195" s="1" t="n">
        <v>45581</v>
      </c>
      <c r="D195" t="inlineStr">
        <is>
          <t>SKÅNE LÄN</t>
        </is>
      </c>
      <c r="E195" t="inlineStr">
        <is>
          <t>HÖÖR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42053-2023</t>
        </is>
      </c>
      <c r="B196" s="1" t="n">
        <v>45174</v>
      </c>
      <c r="C196" s="1" t="n">
        <v>45581</v>
      </c>
      <c r="D196" t="inlineStr">
        <is>
          <t>SKÅNE LÄN</t>
        </is>
      </c>
      <c r="E196" t="inlineStr">
        <is>
          <t>HÖÖR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42057-2023</t>
        </is>
      </c>
      <c r="B197" s="1" t="n">
        <v>45174</v>
      </c>
      <c r="C197" s="1" t="n">
        <v>45581</v>
      </c>
      <c r="D197" t="inlineStr">
        <is>
          <t>SKÅNE LÄN</t>
        </is>
      </c>
      <c r="E197" t="inlineStr">
        <is>
          <t>HÖÖR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41623-2023</t>
        </is>
      </c>
      <c r="B198" s="1" t="n">
        <v>45175</v>
      </c>
      <c r="C198" s="1" t="n">
        <v>45581</v>
      </c>
      <c r="D198" t="inlineStr">
        <is>
          <t>SKÅNE LÄN</t>
        </is>
      </c>
      <c r="E198" t="inlineStr">
        <is>
          <t>HÖÖR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42932-2023</t>
        </is>
      </c>
      <c r="B199" s="1" t="n">
        <v>45182</v>
      </c>
      <c r="C199" s="1" t="n">
        <v>45581</v>
      </c>
      <c r="D199" t="inlineStr">
        <is>
          <t>SKÅNE LÄN</t>
        </is>
      </c>
      <c r="E199" t="inlineStr">
        <is>
          <t>HÖÖR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42937-2023</t>
        </is>
      </c>
      <c r="B200" s="1" t="n">
        <v>45182</v>
      </c>
      <c r="C200" s="1" t="n">
        <v>45581</v>
      </c>
      <c r="D200" t="inlineStr">
        <is>
          <t>SKÅNE LÄN</t>
        </is>
      </c>
      <c r="E200" t="inlineStr">
        <is>
          <t>HÖÖR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44960-2023</t>
        </is>
      </c>
      <c r="B201" s="1" t="n">
        <v>45190</v>
      </c>
      <c r="C201" s="1" t="n">
        <v>45581</v>
      </c>
      <c r="D201" t="inlineStr">
        <is>
          <t>SKÅNE LÄN</t>
        </is>
      </c>
      <c r="E201" t="inlineStr">
        <is>
          <t>HÖÖR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45088-2023</t>
        </is>
      </c>
      <c r="B202" s="1" t="n">
        <v>45191</v>
      </c>
      <c r="C202" s="1" t="n">
        <v>45581</v>
      </c>
      <c r="D202" t="inlineStr">
        <is>
          <t>SKÅNE LÄN</t>
        </is>
      </c>
      <c r="E202" t="inlineStr">
        <is>
          <t>HÖÖR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45349-2023</t>
        </is>
      </c>
      <c r="B203" s="1" t="n">
        <v>45191</v>
      </c>
      <c r="C203" s="1" t="n">
        <v>45581</v>
      </c>
      <c r="D203" t="inlineStr">
        <is>
          <t>SKÅNE LÄN</t>
        </is>
      </c>
      <c r="E203" t="inlineStr">
        <is>
          <t>HÖÖR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50325-2023</t>
        </is>
      </c>
      <c r="B204" s="1" t="n">
        <v>45216</v>
      </c>
      <c r="C204" s="1" t="n">
        <v>45581</v>
      </c>
      <c r="D204" t="inlineStr">
        <is>
          <t>SKÅNE LÄN</t>
        </is>
      </c>
      <c r="E204" t="inlineStr">
        <is>
          <t>HÖÖR</t>
        </is>
      </c>
      <c r="G204" t="n">
        <v>11.4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50330-2023</t>
        </is>
      </c>
      <c r="B205" s="1" t="n">
        <v>45216</v>
      </c>
      <c r="C205" s="1" t="n">
        <v>45581</v>
      </c>
      <c r="D205" t="inlineStr">
        <is>
          <t>SKÅNE LÄN</t>
        </is>
      </c>
      <c r="E205" t="inlineStr">
        <is>
          <t>HÖÖR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50332-2023</t>
        </is>
      </c>
      <c r="B206" s="1" t="n">
        <v>45216</v>
      </c>
      <c r="C206" s="1" t="n">
        <v>45581</v>
      </c>
      <c r="D206" t="inlineStr">
        <is>
          <t>SKÅNE LÄN</t>
        </is>
      </c>
      <c r="E206" t="inlineStr">
        <is>
          <t>HÖÖR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51328-2023</t>
        </is>
      </c>
      <c r="B207" s="1" t="n">
        <v>45219</v>
      </c>
      <c r="C207" s="1" t="n">
        <v>45581</v>
      </c>
      <c r="D207" t="inlineStr">
        <is>
          <t>SKÅNE LÄN</t>
        </is>
      </c>
      <c r="E207" t="inlineStr">
        <is>
          <t>HÖÖR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51938-2023</t>
        </is>
      </c>
      <c r="B208" s="1" t="n">
        <v>45223</v>
      </c>
      <c r="C208" s="1" t="n">
        <v>45581</v>
      </c>
      <c r="D208" t="inlineStr">
        <is>
          <t>SKÅNE LÄN</t>
        </is>
      </c>
      <c r="E208" t="inlineStr">
        <is>
          <t>HÖÖR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51956-2023</t>
        </is>
      </c>
      <c r="B209" s="1" t="n">
        <v>45223</v>
      </c>
      <c r="C209" s="1" t="n">
        <v>45581</v>
      </c>
      <c r="D209" t="inlineStr">
        <is>
          <t>SKÅNE LÄN</t>
        </is>
      </c>
      <c r="E209" t="inlineStr">
        <is>
          <t>HÖÖR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51940-2023</t>
        </is>
      </c>
      <c r="B210" s="1" t="n">
        <v>45223</v>
      </c>
      <c r="C210" s="1" t="n">
        <v>45581</v>
      </c>
      <c r="D210" t="inlineStr">
        <is>
          <t>SKÅNE LÄN</t>
        </is>
      </c>
      <c r="E210" t="inlineStr">
        <is>
          <t>HÖÖR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52326-2023</t>
        </is>
      </c>
      <c r="B211" s="1" t="n">
        <v>45224</v>
      </c>
      <c r="C211" s="1" t="n">
        <v>45581</v>
      </c>
      <c r="D211" t="inlineStr">
        <is>
          <t>SKÅNE LÄN</t>
        </is>
      </c>
      <c r="E211" t="inlineStr">
        <is>
          <t>HÖÖR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53848-2023</t>
        </is>
      </c>
      <c r="B212" s="1" t="n">
        <v>45231</v>
      </c>
      <c r="C212" s="1" t="n">
        <v>45581</v>
      </c>
      <c r="D212" t="inlineStr">
        <is>
          <t>SKÅNE LÄN</t>
        </is>
      </c>
      <c r="E212" t="inlineStr">
        <is>
          <t>HÖÖR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53956-2023</t>
        </is>
      </c>
      <c r="B213" s="1" t="n">
        <v>45231</v>
      </c>
      <c r="C213" s="1" t="n">
        <v>45581</v>
      </c>
      <c r="D213" t="inlineStr">
        <is>
          <t>SKÅNE LÄN</t>
        </is>
      </c>
      <c r="E213" t="inlineStr">
        <is>
          <t>HÖÖR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53807-2023</t>
        </is>
      </c>
      <c r="B214" s="1" t="n">
        <v>45231</v>
      </c>
      <c r="C214" s="1" t="n">
        <v>45581</v>
      </c>
      <c r="D214" t="inlineStr">
        <is>
          <t>SKÅNE LÄN</t>
        </is>
      </c>
      <c r="E214" t="inlineStr">
        <is>
          <t>HÖÖR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54798-2023</t>
        </is>
      </c>
      <c r="B215" s="1" t="n">
        <v>45236</v>
      </c>
      <c r="C215" s="1" t="n">
        <v>45581</v>
      </c>
      <c r="D215" t="inlineStr">
        <is>
          <t>SKÅNE LÄN</t>
        </is>
      </c>
      <c r="E215" t="inlineStr">
        <is>
          <t>HÖÖR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54795-2023</t>
        </is>
      </c>
      <c r="B216" s="1" t="n">
        <v>45236</v>
      </c>
      <c r="C216" s="1" t="n">
        <v>45581</v>
      </c>
      <c r="D216" t="inlineStr">
        <is>
          <t>SKÅNE LÄN</t>
        </is>
      </c>
      <c r="E216" t="inlineStr">
        <is>
          <t>HÖÖR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55797-2023</t>
        </is>
      </c>
      <c r="B217" s="1" t="n">
        <v>45239</v>
      </c>
      <c r="C217" s="1" t="n">
        <v>45581</v>
      </c>
      <c r="D217" t="inlineStr">
        <is>
          <t>SKÅNE LÄN</t>
        </is>
      </c>
      <c r="E217" t="inlineStr">
        <is>
          <t>HÖÖR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57428-2023</t>
        </is>
      </c>
      <c r="B218" s="1" t="n">
        <v>45240</v>
      </c>
      <c r="C218" s="1" t="n">
        <v>45581</v>
      </c>
      <c r="D218" t="inlineStr">
        <is>
          <t>SKÅNE LÄN</t>
        </is>
      </c>
      <c r="E218" t="inlineStr">
        <is>
          <t>HÖÖR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56940-2023</t>
        </is>
      </c>
      <c r="B219" s="1" t="n">
        <v>45244</v>
      </c>
      <c r="C219" s="1" t="n">
        <v>45581</v>
      </c>
      <c r="D219" t="inlineStr">
        <is>
          <t>SKÅNE LÄN</t>
        </is>
      </c>
      <c r="E219" t="inlineStr">
        <is>
          <t>HÖÖR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61011-2023</t>
        </is>
      </c>
      <c r="B220" s="1" t="n">
        <v>45261</v>
      </c>
      <c r="C220" s="1" t="n">
        <v>45581</v>
      </c>
      <c r="D220" t="inlineStr">
        <is>
          <t>SKÅNE LÄN</t>
        </is>
      </c>
      <c r="E220" t="inlineStr">
        <is>
          <t>HÖÖR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62602-2023</t>
        </is>
      </c>
      <c r="B221" s="1" t="n">
        <v>45271</v>
      </c>
      <c r="C221" s="1" t="n">
        <v>45581</v>
      </c>
      <c r="D221" t="inlineStr">
        <is>
          <t>SKÅNE LÄN</t>
        </is>
      </c>
      <c r="E221" t="inlineStr">
        <is>
          <t>HÖÖR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63139-2023</t>
        </is>
      </c>
      <c r="B222" s="1" t="n">
        <v>45273</v>
      </c>
      <c r="C222" s="1" t="n">
        <v>45581</v>
      </c>
      <c r="D222" t="inlineStr">
        <is>
          <t>SKÅNE LÄN</t>
        </is>
      </c>
      <c r="E222" t="inlineStr">
        <is>
          <t>HÖÖR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63268-2023</t>
        </is>
      </c>
      <c r="B223" s="1" t="n">
        <v>45273</v>
      </c>
      <c r="C223" s="1" t="n">
        <v>45581</v>
      </c>
      <c r="D223" t="inlineStr">
        <is>
          <t>SKÅNE LÄN</t>
        </is>
      </c>
      <c r="E223" t="inlineStr">
        <is>
          <t>HÖÖR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63267-2023</t>
        </is>
      </c>
      <c r="B224" s="1" t="n">
        <v>45273</v>
      </c>
      <c r="C224" s="1" t="n">
        <v>45581</v>
      </c>
      <c r="D224" t="inlineStr">
        <is>
          <t>SKÅNE LÄN</t>
        </is>
      </c>
      <c r="E224" t="inlineStr">
        <is>
          <t>HÖÖR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63611-2023</t>
        </is>
      </c>
      <c r="B225" s="1" t="n">
        <v>45275</v>
      </c>
      <c r="C225" s="1" t="n">
        <v>45581</v>
      </c>
      <c r="D225" t="inlineStr">
        <is>
          <t>SKÅNE LÄN</t>
        </is>
      </c>
      <c r="E225" t="inlineStr">
        <is>
          <t>HÖÖR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63766-2023</t>
        </is>
      </c>
      <c r="B226" s="1" t="n">
        <v>45278</v>
      </c>
      <c r="C226" s="1" t="n">
        <v>45581</v>
      </c>
      <c r="D226" t="inlineStr">
        <is>
          <t>SKÅNE LÄN</t>
        </is>
      </c>
      <c r="E226" t="inlineStr">
        <is>
          <t>HÖÖR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2950-2024</t>
        </is>
      </c>
      <c r="B227" s="1" t="n">
        <v>45315</v>
      </c>
      <c r="C227" s="1" t="n">
        <v>45581</v>
      </c>
      <c r="D227" t="inlineStr">
        <is>
          <t>SKÅNE LÄN</t>
        </is>
      </c>
      <c r="E227" t="inlineStr">
        <is>
          <t>HÖÖR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2935-2024</t>
        </is>
      </c>
      <c r="B228" s="1" t="n">
        <v>45315</v>
      </c>
      <c r="C228" s="1" t="n">
        <v>45581</v>
      </c>
      <c r="D228" t="inlineStr">
        <is>
          <t>SKÅNE LÄN</t>
        </is>
      </c>
      <c r="E228" t="inlineStr">
        <is>
          <t>HÖÖR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3160-2024</t>
        </is>
      </c>
      <c r="B229" s="1" t="n">
        <v>45316</v>
      </c>
      <c r="C229" s="1" t="n">
        <v>45581</v>
      </c>
      <c r="D229" t="inlineStr">
        <is>
          <t>SKÅNE LÄN</t>
        </is>
      </c>
      <c r="E229" t="inlineStr">
        <is>
          <t>HÖÖR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3407-2024</t>
        </is>
      </c>
      <c r="B230" s="1" t="n">
        <v>45318</v>
      </c>
      <c r="C230" s="1" t="n">
        <v>45581</v>
      </c>
      <c r="D230" t="inlineStr">
        <is>
          <t>SKÅNE LÄN</t>
        </is>
      </c>
      <c r="E230" t="inlineStr">
        <is>
          <t>HÖÖR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3924-2024</t>
        </is>
      </c>
      <c r="B231" s="1" t="n">
        <v>45322</v>
      </c>
      <c r="C231" s="1" t="n">
        <v>45581</v>
      </c>
      <c r="D231" t="inlineStr">
        <is>
          <t>SKÅNE LÄN</t>
        </is>
      </c>
      <c r="E231" t="inlineStr">
        <is>
          <t>HÖÖR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3940-2024</t>
        </is>
      </c>
      <c r="B232" s="1" t="n">
        <v>45322</v>
      </c>
      <c r="C232" s="1" t="n">
        <v>45581</v>
      </c>
      <c r="D232" t="inlineStr">
        <is>
          <t>SKÅNE LÄN</t>
        </is>
      </c>
      <c r="E232" t="inlineStr">
        <is>
          <t>HÖÖR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4120-2024</t>
        </is>
      </c>
      <c r="B233" s="1" t="n">
        <v>45323</v>
      </c>
      <c r="C233" s="1" t="n">
        <v>45581</v>
      </c>
      <c r="D233" t="inlineStr">
        <is>
          <t>SKÅNE LÄN</t>
        </is>
      </c>
      <c r="E233" t="inlineStr">
        <is>
          <t>HÖÖR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4443-2024</t>
        </is>
      </c>
      <c r="B234" s="1" t="n">
        <v>45324</v>
      </c>
      <c r="C234" s="1" t="n">
        <v>45581</v>
      </c>
      <c r="D234" t="inlineStr">
        <is>
          <t>SKÅNE LÄN</t>
        </is>
      </c>
      <c r="E234" t="inlineStr">
        <is>
          <t>HÖÖR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4358-2024</t>
        </is>
      </c>
      <c r="B235" s="1" t="n">
        <v>45325</v>
      </c>
      <c r="C235" s="1" t="n">
        <v>45581</v>
      </c>
      <c r="D235" t="inlineStr">
        <is>
          <t>SKÅNE LÄN</t>
        </is>
      </c>
      <c r="E235" t="inlineStr">
        <is>
          <t>HÖÖR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4501-2024</t>
        </is>
      </c>
      <c r="B236" s="1" t="n">
        <v>45327</v>
      </c>
      <c r="C236" s="1" t="n">
        <v>45581</v>
      </c>
      <c r="D236" t="inlineStr">
        <is>
          <t>SKÅNE LÄN</t>
        </is>
      </c>
      <c r="E236" t="inlineStr">
        <is>
          <t>HÖÖR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4974-2024</t>
        </is>
      </c>
      <c r="B237" s="1" t="n">
        <v>45329</v>
      </c>
      <c r="C237" s="1" t="n">
        <v>45581</v>
      </c>
      <c r="D237" t="inlineStr">
        <is>
          <t>SKÅNE LÄN</t>
        </is>
      </c>
      <c r="E237" t="inlineStr">
        <is>
          <t>HÖÖR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6440-2024</t>
        </is>
      </c>
      <c r="B238" s="1" t="n">
        <v>45338</v>
      </c>
      <c r="C238" s="1" t="n">
        <v>45581</v>
      </c>
      <c r="D238" t="inlineStr">
        <is>
          <t>SKÅNE LÄN</t>
        </is>
      </c>
      <c r="E238" t="inlineStr">
        <is>
          <t>HÖÖR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6760-2024</t>
        </is>
      </c>
      <c r="B239" s="1" t="n">
        <v>45342</v>
      </c>
      <c r="C239" s="1" t="n">
        <v>45581</v>
      </c>
      <c r="D239" t="inlineStr">
        <is>
          <t>SKÅNE LÄN</t>
        </is>
      </c>
      <c r="E239" t="inlineStr">
        <is>
          <t>HÖÖR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6941-2024</t>
        </is>
      </c>
      <c r="B240" s="1" t="n">
        <v>45343</v>
      </c>
      <c r="C240" s="1" t="n">
        <v>45581</v>
      </c>
      <c r="D240" t="inlineStr">
        <is>
          <t>SKÅNE LÄN</t>
        </is>
      </c>
      <c r="E240" t="inlineStr">
        <is>
          <t>HÖÖR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6944-2024</t>
        </is>
      </c>
      <c r="B241" s="1" t="n">
        <v>45343</v>
      </c>
      <c r="C241" s="1" t="n">
        <v>45581</v>
      </c>
      <c r="D241" t="inlineStr">
        <is>
          <t>SKÅNE LÄN</t>
        </is>
      </c>
      <c r="E241" t="inlineStr">
        <is>
          <t>HÖÖR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7355-2024</t>
        </is>
      </c>
      <c r="B242" s="1" t="n">
        <v>45345</v>
      </c>
      <c r="C242" s="1" t="n">
        <v>45581</v>
      </c>
      <c r="D242" t="inlineStr">
        <is>
          <t>SKÅNE LÄN</t>
        </is>
      </c>
      <c r="E242" t="inlineStr">
        <is>
          <t>HÖÖR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9392-2024</t>
        </is>
      </c>
      <c r="B243" s="1" t="n">
        <v>45359</v>
      </c>
      <c r="C243" s="1" t="n">
        <v>45581</v>
      </c>
      <c r="D243" t="inlineStr">
        <is>
          <t>SKÅNE LÄN</t>
        </is>
      </c>
      <c r="E243" t="inlineStr">
        <is>
          <t>HÖÖR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11379-2024</t>
        </is>
      </c>
      <c r="B244" s="1" t="n">
        <v>45372</v>
      </c>
      <c r="C244" s="1" t="n">
        <v>45581</v>
      </c>
      <c r="D244" t="inlineStr">
        <is>
          <t>SKÅNE LÄN</t>
        </is>
      </c>
      <c r="E244" t="inlineStr">
        <is>
          <t>HÖÖR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13475-2024</t>
        </is>
      </c>
      <c r="B245" s="1" t="n">
        <v>45387</v>
      </c>
      <c r="C245" s="1" t="n">
        <v>45581</v>
      </c>
      <c r="D245" t="inlineStr">
        <is>
          <t>SKÅNE LÄN</t>
        </is>
      </c>
      <c r="E245" t="inlineStr">
        <is>
          <t>HÖÖR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14849-2024</t>
        </is>
      </c>
      <c r="B246" s="1" t="n">
        <v>45398</v>
      </c>
      <c r="C246" s="1" t="n">
        <v>45581</v>
      </c>
      <c r="D246" t="inlineStr">
        <is>
          <t>SKÅNE LÄN</t>
        </is>
      </c>
      <c r="E246" t="inlineStr">
        <is>
          <t>HÖÖR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15908-2024</t>
        </is>
      </c>
      <c r="B247" s="1" t="n">
        <v>45405</v>
      </c>
      <c r="C247" s="1" t="n">
        <v>45581</v>
      </c>
      <c r="D247" t="inlineStr">
        <is>
          <t>SKÅNE LÄN</t>
        </is>
      </c>
      <c r="E247" t="inlineStr">
        <is>
          <t>HÖÖR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15905-2024</t>
        </is>
      </c>
      <c r="B248" s="1" t="n">
        <v>45405</v>
      </c>
      <c r="C248" s="1" t="n">
        <v>45581</v>
      </c>
      <c r="D248" t="inlineStr">
        <is>
          <t>SKÅNE LÄN</t>
        </is>
      </c>
      <c r="E248" t="inlineStr">
        <is>
          <t>HÖÖR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16110-2024</t>
        </is>
      </c>
      <c r="B249" s="1" t="n">
        <v>45406</v>
      </c>
      <c r="C249" s="1" t="n">
        <v>45581</v>
      </c>
      <c r="D249" t="inlineStr">
        <is>
          <t>SKÅNE LÄN</t>
        </is>
      </c>
      <c r="E249" t="inlineStr">
        <is>
          <t>HÖÖR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17300-2024</t>
        </is>
      </c>
      <c r="B250" s="1" t="n">
        <v>45414</v>
      </c>
      <c r="C250" s="1" t="n">
        <v>45581</v>
      </c>
      <c r="D250" t="inlineStr">
        <is>
          <t>SKÅNE LÄN</t>
        </is>
      </c>
      <c r="E250" t="inlineStr">
        <is>
          <t>HÖÖR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23005-2024</t>
        </is>
      </c>
      <c r="B251" s="1" t="n">
        <v>45450</v>
      </c>
      <c r="C251" s="1" t="n">
        <v>45581</v>
      </c>
      <c r="D251" t="inlineStr">
        <is>
          <t>SKÅNE LÄN</t>
        </is>
      </c>
      <c r="E251" t="inlineStr">
        <is>
          <t>HÖÖR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23138-2024</t>
        </is>
      </c>
      <c r="B252" s="1" t="n">
        <v>45450</v>
      </c>
      <c r="C252" s="1" t="n">
        <v>45581</v>
      </c>
      <c r="D252" t="inlineStr">
        <is>
          <t>SKÅNE LÄN</t>
        </is>
      </c>
      <c r="E252" t="inlineStr">
        <is>
          <t>HÖÖR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24815-2024</t>
        </is>
      </c>
      <c r="B253" s="1" t="n">
        <v>45461</v>
      </c>
      <c r="C253" s="1" t="n">
        <v>45581</v>
      </c>
      <c r="D253" t="inlineStr">
        <is>
          <t>SKÅNE LÄN</t>
        </is>
      </c>
      <c r="E253" t="inlineStr">
        <is>
          <t>HÖÖR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24816-2024</t>
        </is>
      </c>
      <c r="B254" s="1" t="n">
        <v>45461</v>
      </c>
      <c r="C254" s="1" t="n">
        <v>45581</v>
      </c>
      <c r="D254" t="inlineStr">
        <is>
          <t>SKÅNE LÄN</t>
        </is>
      </c>
      <c r="E254" t="inlineStr">
        <is>
          <t>HÖÖR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27251-2024</t>
        </is>
      </c>
      <c r="B255" s="1" t="n">
        <v>45471</v>
      </c>
      <c r="C255" s="1" t="n">
        <v>45581</v>
      </c>
      <c r="D255" t="inlineStr">
        <is>
          <t>SKÅNE LÄN</t>
        </is>
      </c>
      <c r="E255" t="inlineStr">
        <is>
          <t>HÖÖR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28385-2024</t>
        </is>
      </c>
      <c r="B256" s="1" t="n">
        <v>45477</v>
      </c>
      <c r="C256" s="1" t="n">
        <v>45581</v>
      </c>
      <c r="D256" t="inlineStr">
        <is>
          <t>SKÅNE LÄN</t>
        </is>
      </c>
      <c r="E256" t="inlineStr">
        <is>
          <t>HÖÖR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28335-2024</t>
        </is>
      </c>
      <c r="B257" s="1" t="n">
        <v>45477</v>
      </c>
      <c r="C257" s="1" t="n">
        <v>45581</v>
      </c>
      <c r="D257" t="inlineStr">
        <is>
          <t>SKÅNE LÄN</t>
        </is>
      </c>
      <c r="E257" t="inlineStr">
        <is>
          <t>HÖÖR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28352-2024</t>
        </is>
      </c>
      <c r="B258" s="1" t="n">
        <v>45477</v>
      </c>
      <c r="C258" s="1" t="n">
        <v>45581</v>
      </c>
      <c r="D258" t="inlineStr">
        <is>
          <t>SKÅNE LÄN</t>
        </is>
      </c>
      <c r="E258" t="inlineStr">
        <is>
          <t>HÖÖR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28332-2024</t>
        </is>
      </c>
      <c r="B259" s="1" t="n">
        <v>45477</v>
      </c>
      <c r="C259" s="1" t="n">
        <v>45581</v>
      </c>
      <c r="D259" t="inlineStr">
        <is>
          <t>SKÅNE LÄN</t>
        </is>
      </c>
      <c r="E259" t="inlineStr">
        <is>
          <t>HÖÖR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28189-2024</t>
        </is>
      </c>
      <c r="B260" s="1" t="n">
        <v>45477</v>
      </c>
      <c r="C260" s="1" t="n">
        <v>45581</v>
      </c>
      <c r="D260" t="inlineStr">
        <is>
          <t>SKÅNE LÄN</t>
        </is>
      </c>
      <c r="E260" t="inlineStr">
        <is>
          <t>HÖÖR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34704-2024</t>
        </is>
      </c>
      <c r="B261" s="1" t="n">
        <v>45526</v>
      </c>
      <c r="C261" s="1" t="n">
        <v>45581</v>
      </c>
      <c r="D261" t="inlineStr">
        <is>
          <t>SKÅNE LÄN</t>
        </is>
      </c>
      <c r="E261" t="inlineStr">
        <is>
          <t>HÖÖR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35038-2024</t>
        </is>
      </c>
      <c r="B262" s="1" t="n">
        <v>45527</v>
      </c>
      <c r="C262" s="1" t="n">
        <v>45581</v>
      </c>
      <c r="D262" t="inlineStr">
        <is>
          <t>SKÅNE LÄN</t>
        </is>
      </c>
      <c r="E262" t="inlineStr">
        <is>
          <t>HÖÖR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35801-2024</t>
        </is>
      </c>
      <c r="B263" s="1" t="n">
        <v>45532</v>
      </c>
      <c r="C263" s="1" t="n">
        <v>45581</v>
      </c>
      <c r="D263" t="inlineStr">
        <is>
          <t>SKÅNE LÄN</t>
        </is>
      </c>
      <c r="E263" t="inlineStr">
        <is>
          <t>HÖÖR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36119-2024</t>
        </is>
      </c>
      <c r="B264" s="1" t="n">
        <v>45534</v>
      </c>
      <c r="C264" s="1" t="n">
        <v>45581</v>
      </c>
      <c r="D264" t="inlineStr">
        <is>
          <t>SKÅNE LÄN</t>
        </is>
      </c>
      <c r="E264" t="inlineStr">
        <is>
          <t>HÖÖR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36211-2024</t>
        </is>
      </c>
      <c r="B265" s="1" t="n">
        <v>45534</v>
      </c>
      <c r="C265" s="1" t="n">
        <v>45581</v>
      </c>
      <c r="D265" t="inlineStr">
        <is>
          <t>SKÅNE LÄN</t>
        </is>
      </c>
      <c r="E265" t="inlineStr">
        <is>
          <t>HÖÖR</t>
        </is>
      </c>
      <c r="G265" t="n">
        <v>7.6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37074-2024</t>
        </is>
      </c>
      <c r="B266" s="1" t="n">
        <v>45539</v>
      </c>
      <c r="C266" s="1" t="n">
        <v>45581</v>
      </c>
      <c r="D266" t="inlineStr">
        <is>
          <t>SKÅNE LÄN</t>
        </is>
      </c>
      <c r="E266" t="inlineStr">
        <is>
          <t>HÖÖR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37082-2024</t>
        </is>
      </c>
      <c r="B267" s="1" t="n">
        <v>45539</v>
      </c>
      <c r="C267" s="1" t="n">
        <v>45581</v>
      </c>
      <c r="D267" t="inlineStr">
        <is>
          <t>SKÅNE LÄN</t>
        </is>
      </c>
      <c r="E267" t="inlineStr">
        <is>
          <t>HÖÖR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38502-2024</t>
        </is>
      </c>
      <c r="B268" s="1" t="n">
        <v>45546</v>
      </c>
      <c r="C268" s="1" t="n">
        <v>45581</v>
      </c>
      <c r="D268" t="inlineStr">
        <is>
          <t>SKÅNE LÄN</t>
        </is>
      </c>
      <c r="E268" t="inlineStr">
        <is>
          <t>HÖÖR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43469-2024</t>
        </is>
      </c>
      <c r="B269" s="1" t="n">
        <v>45568</v>
      </c>
      <c r="C269" s="1" t="n">
        <v>45581</v>
      </c>
      <c r="D269" t="inlineStr">
        <is>
          <t>SKÅNE LÄN</t>
        </is>
      </c>
      <c r="E269" t="inlineStr">
        <is>
          <t>HÖÖR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44163-2024</t>
        </is>
      </c>
      <c r="B270" s="1" t="n">
        <v>45572</v>
      </c>
      <c r="C270" s="1" t="n">
        <v>45581</v>
      </c>
      <c r="D270" t="inlineStr">
        <is>
          <t>SKÅNE LÄN</t>
        </is>
      </c>
      <c r="E270" t="inlineStr">
        <is>
          <t>HÖÖR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44157-2024</t>
        </is>
      </c>
      <c r="B271" s="1" t="n">
        <v>45572</v>
      </c>
      <c r="C271" s="1" t="n">
        <v>45581</v>
      </c>
      <c r="D271" t="inlineStr">
        <is>
          <t>SKÅNE LÄN</t>
        </is>
      </c>
      <c r="E271" t="inlineStr">
        <is>
          <t>HÖÖR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44169-2024</t>
        </is>
      </c>
      <c r="B272" s="1" t="n">
        <v>45572</v>
      </c>
      <c r="C272" s="1" t="n">
        <v>45581</v>
      </c>
      <c r="D272" t="inlineStr">
        <is>
          <t>SKÅNE LÄN</t>
        </is>
      </c>
      <c r="E272" t="inlineStr">
        <is>
          <t>HÖÖR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44728-2024</t>
        </is>
      </c>
      <c r="B273" s="1" t="n">
        <v>45574</v>
      </c>
      <c r="C273" s="1" t="n">
        <v>45581</v>
      </c>
      <c r="D273" t="inlineStr">
        <is>
          <t>SKÅNE LÄN</t>
        </is>
      </c>
      <c r="E273" t="inlineStr">
        <is>
          <t>HÖÖR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44739-2024</t>
        </is>
      </c>
      <c r="B274" s="1" t="n">
        <v>45574</v>
      </c>
      <c r="C274" s="1" t="n">
        <v>45581</v>
      </c>
      <c r="D274" t="inlineStr">
        <is>
          <t>SKÅNE LÄN</t>
        </is>
      </c>
      <c r="E274" t="inlineStr">
        <is>
          <t>HÖÖR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>
      <c r="A275" t="inlineStr">
        <is>
          <t>A 45092-2024</t>
        </is>
      </c>
      <c r="B275" s="1" t="n">
        <v>45575</v>
      </c>
      <c r="C275" s="1" t="n">
        <v>45581</v>
      </c>
      <c r="D275" t="inlineStr">
        <is>
          <t>SKÅNE LÄN</t>
        </is>
      </c>
      <c r="E275" t="inlineStr">
        <is>
          <t>HÖÖR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2024-10-16T13:09:22Z</dcterms:created>
  <dcterms:modified xmlns:dcterms="http://purl.org/dc/terms/" xmlns:xsi="http://www.w3.org/2001/XMLSchema-instance" xsi:type="dcterms:W3CDTF">2024-10-16T13:09:22Z</dcterms:modified>
</cp:coreProperties>
</file>