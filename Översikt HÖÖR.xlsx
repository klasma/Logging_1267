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46179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46179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46179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46179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46179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46179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46179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46179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46179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46179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46179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46179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46179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46179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46179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46179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46179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46179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46179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46179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46179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46179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61019-2024</t>
        </is>
      </c>
      <c r="B25" s="1" t="n">
        <v>45645</v>
      </c>
      <c r="C25" s="1" t="n">
        <v>46179</v>
      </c>
      <c r="D25" t="inlineStr">
        <is>
          <t>SKÅNE LÄN</t>
        </is>
      </c>
      <c r="E25" t="inlineStr">
        <is>
          <t>HÖÖR</t>
        </is>
      </c>
      <c r="F25" t="inlineStr">
        <is>
          <t>Kommuner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Brokigt ängsfly</t>
        </is>
      </c>
      <c r="S25">
        <f>HYPERLINK("https://klasma.github.io/Logging_1267/artfynd/A 61019-2024 artfynd.xlsx", "A 61019-2024")</f>
        <v/>
      </c>
      <c r="T25">
        <f>HYPERLINK("https://klasma.github.io/Logging_1267/kartor/A 61019-2024 karta.png", "A 61019-2024")</f>
        <v/>
      </c>
      <c r="V25">
        <f>HYPERLINK("https://klasma.github.io/Logging_1267/klagomål/A 61019-2024 FSC-klagomål.docx", "A 61019-2024")</f>
        <v/>
      </c>
      <c r="W25">
        <f>HYPERLINK("https://klasma.github.io/Logging_1267/klagomålsmail/A 61019-2024 FSC-klagomål mail.docx", "A 61019-2024")</f>
        <v/>
      </c>
      <c r="X25">
        <f>HYPERLINK("https://klasma.github.io/Logging_1267/tillsyn/A 61019-2024 tillsynsbegäran.docx", "A 61019-2024")</f>
        <v/>
      </c>
      <c r="Y25">
        <f>HYPERLINK("https://klasma.github.io/Logging_1267/tillsynsmail/A 61019-2024 tillsynsbegäran mail.docx", "A 61019-2024")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46179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46179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46179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46179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46179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46179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46179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46179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46179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46179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46179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46179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46179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46179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46179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46179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46179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46179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46179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46179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46179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46179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46179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46179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46179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46179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46179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43891-2022</t>
        </is>
      </c>
      <c r="B53" s="1" t="n">
        <v>44838</v>
      </c>
      <c r="C53" s="1" t="n">
        <v>46179</v>
      </c>
      <c r="D53" t="inlineStr">
        <is>
          <t>SKÅNE LÄN</t>
        </is>
      </c>
      <c r="E53" t="inlineStr">
        <is>
          <t>HÖÖR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56231-2022</t>
        </is>
      </c>
      <c r="B54" s="1" t="n">
        <v>44890</v>
      </c>
      <c r="C54" s="1" t="n">
        <v>46179</v>
      </c>
      <c r="D54" t="inlineStr">
        <is>
          <t>SKÅNE LÄN</t>
        </is>
      </c>
      <c r="E54" t="inlineStr">
        <is>
          <t>HÖÖR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46179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46179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28332-2024</t>
        </is>
      </c>
      <c r="B57" s="1" t="n">
        <v>45477</v>
      </c>
      <c r="C57" s="1" t="n">
        <v>46179</v>
      </c>
      <c r="D57" t="inlineStr">
        <is>
          <t>SKÅNE LÄN</t>
        </is>
      </c>
      <c r="E57" t="inlineStr">
        <is>
          <t>HÖÖR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28352-2024</t>
        </is>
      </c>
      <c r="B58" s="1" t="n">
        <v>45477</v>
      </c>
      <c r="C58" s="1" t="n">
        <v>46179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53956-2023</t>
        </is>
      </c>
      <c r="B59" s="1" t="n">
        <v>45231</v>
      </c>
      <c r="C59" s="1" t="n">
        <v>46179</v>
      </c>
      <c r="D59" t="inlineStr">
        <is>
          <t>SKÅNE LÄN</t>
        </is>
      </c>
      <c r="E59" t="inlineStr">
        <is>
          <t>HÖÖR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4120-2024</t>
        </is>
      </c>
      <c r="B60" s="1" t="n">
        <v>45323.67927083333</v>
      </c>
      <c r="C60" s="1" t="n">
        <v>46179</v>
      </c>
      <c r="D60" t="inlineStr">
        <is>
          <t>SKÅNE LÄN</t>
        </is>
      </c>
      <c r="E60" t="inlineStr">
        <is>
          <t>HÖÖR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54753-2022</t>
        </is>
      </c>
      <c r="B61" s="1" t="n">
        <v>44883</v>
      </c>
      <c r="C61" s="1" t="n">
        <v>46179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46179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43871-2022</t>
        </is>
      </c>
      <c r="B63" s="1" t="n">
        <v>44838</v>
      </c>
      <c r="C63" s="1" t="n">
        <v>46179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43884-2022</t>
        </is>
      </c>
      <c r="B64" s="1" t="n">
        <v>44838</v>
      </c>
      <c r="C64" s="1" t="n">
        <v>46179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46179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51232-2025</t>
        </is>
      </c>
      <c r="B66" s="1" t="n">
        <v>45947</v>
      </c>
      <c r="C66" s="1" t="n">
        <v>46179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14514-2023</t>
        </is>
      </c>
      <c r="B67" s="1" t="n">
        <v>45012</v>
      </c>
      <c r="C67" s="1" t="n">
        <v>46179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30951-2023</t>
        </is>
      </c>
      <c r="B68" s="1" t="n">
        <v>45113</v>
      </c>
      <c r="C68" s="1" t="n">
        <v>46179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46179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52281-2024</t>
        </is>
      </c>
      <c r="B70" s="1" t="n">
        <v>45608</v>
      </c>
      <c r="C70" s="1" t="n">
        <v>46179</v>
      </c>
      <c r="D70" t="inlineStr">
        <is>
          <t>SKÅNE LÄN</t>
        </is>
      </c>
      <c r="E70" t="inlineStr">
        <is>
          <t>HÖÖR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46179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13475-2024</t>
        </is>
      </c>
      <c r="B72" s="1" t="n">
        <v>45387.58354166667</v>
      </c>
      <c r="C72" s="1" t="n">
        <v>46179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46179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53460-2022</t>
        </is>
      </c>
      <c r="B74" s="1" t="n">
        <v>44879</v>
      </c>
      <c r="C74" s="1" t="n">
        <v>46179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46179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51131-2021</t>
        </is>
      </c>
      <c r="B76" s="1" t="n">
        <v>44461</v>
      </c>
      <c r="C76" s="1" t="n">
        <v>46179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31092-2023</t>
        </is>
      </c>
      <c r="B77" s="1" t="n">
        <v>45113</v>
      </c>
      <c r="C77" s="1" t="n">
        <v>46179</v>
      </c>
      <c r="D77" t="inlineStr">
        <is>
          <t>SKÅNE LÄN</t>
        </is>
      </c>
      <c r="E77" t="inlineStr">
        <is>
          <t>HÖÖR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46179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46179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46179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46179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14554-2025</t>
        </is>
      </c>
      <c r="B82" s="1" t="n">
        <v>45741</v>
      </c>
      <c r="C82" s="1" t="n">
        <v>46179</v>
      </c>
      <c r="D82" t="inlineStr">
        <is>
          <t>SKÅNE LÄN</t>
        </is>
      </c>
      <c r="E82" t="inlineStr">
        <is>
          <t>HÖÖR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46179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26592-2025</t>
        </is>
      </c>
      <c r="B84" s="1" t="n">
        <v>45807.8859375</v>
      </c>
      <c r="C84" s="1" t="n">
        <v>46179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2852-2026</t>
        </is>
      </c>
      <c r="B85" s="1" t="n">
        <v>46038.4815162037</v>
      </c>
      <c r="C85" s="1" t="n">
        <v>46179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44739-2024</t>
        </is>
      </c>
      <c r="B86" s="1" t="n">
        <v>45574.59447916667</v>
      </c>
      <c r="C86" s="1" t="n">
        <v>46179</v>
      </c>
      <c r="D86" t="inlineStr">
        <is>
          <t>SKÅNE LÄN</t>
        </is>
      </c>
      <c r="E86" t="inlineStr">
        <is>
          <t>HÖÖR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57461-2022</t>
        </is>
      </c>
      <c r="B87" s="1" t="n">
        <v>44896</v>
      </c>
      <c r="C87" s="1" t="n">
        <v>46179</v>
      </c>
      <c r="D87" t="inlineStr">
        <is>
          <t>SKÅNE LÄN</t>
        </is>
      </c>
      <c r="E87" t="inlineStr">
        <is>
          <t>HÖÖR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3182-2026</t>
        </is>
      </c>
      <c r="B88" s="1" t="n">
        <v>46041.45050925926</v>
      </c>
      <c r="C88" s="1" t="n">
        <v>46179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46179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5082-2026</t>
        </is>
      </c>
      <c r="B90" s="1" t="n">
        <v>46049.54256944444</v>
      </c>
      <c r="C90" s="1" t="n">
        <v>46179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7306-2023</t>
        </is>
      </c>
      <c r="B91" s="1" t="n">
        <v>44970</v>
      </c>
      <c r="C91" s="1" t="n">
        <v>46179</v>
      </c>
      <c r="D91" t="inlineStr">
        <is>
          <t>SKÅNE LÄN</t>
        </is>
      </c>
      <c r="E91" t="inlineStr">
        <is>
          <t>HÖÖR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46179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46179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51301-2024</t>
        </is>
      </c>
      <c r="B94" s="1" t="n">
        <v>45604.28789351852</v>
      </c>
      <c r="C94" s="1" t="n">
        <v>46179</v>
      </c>
      <c r="D94" t="inlineStr">
        <is>
          <t>SKÅNE LÄN</t>
        </is>
      </c>
      <c r="E94" t="inlineStr">
        <is>
          <t>HÖÖR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46777-2024</t>
        </is>
      </c>
      <c r="B95" s="1" t="n">
        <v>45583</v>
      </c>
      <c r="C95" s="1" t="n">
        <v>46179</v>
      </c>
      <c r="D95" t="inlineStr">
        <is>
          <t>SKÅNE LÄN</t>
        </is>
      </c>
      <c r="E95" t="inlineStr">
        <is>
          <t>HÖÖR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46179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16663-2022</t>
        </is>
      </c>
      <c r="B97" s="1" t="n">
        <v>44672</v>
      </c>
      <c r="C97" s="1" t="n">
        <v>46179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40595-2021</t>
        </is>
      </c>
      <c r="B98" s="1" t="n">
        <v>44420.47767361111</v>
      </c>
      <c r="C98" s="1" t="n">
        <v>46179</v>
      </c>
      <c r="D98" t="inlineStr">
        <is>
          <t>SKÅNE LÄN</t>
        </is>
      </c>
      <c r="E98" t="inlineStr">
        <is>
          <t>HÖÖR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29285-2025</t>
        </is>
      </c>
      <c r="B99" s="1" t="n">
        <v>45824</v>
      </c>
      <c r="C99" s="1" t="n">
        <v>46179</v>
      </c>
      <c r="D99" t="inlineStr">
        <is>
          <t>SKÅNE LÄN</t>
        </is>
      </c>
      <c r="E99" t="inlineStr">
        <is>
          <t>HÖÖR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10452-2023</t>
        </is>
      </c>
      <c r="B100" s="1" t="n">
        <v>44981</v>
      </c>
      <c r="C100" s="1" t="n">
        <v>46179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47222-2022</t>
        </is>
      </c>
      <c r="B101" s="1" t="n">
        <v>44852</v>
      </c>
      <c r="C101" s="1" t="n">
        <v>46179</v>
      </c>
      <c r="D101" t="inlineStr">
        <is>
          <t>SKÅNE LÄN</t>
        </is>
      </c>
      <c r="E101" t="inlineStr">
        <is>
          <t>HÖÖR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2950-2024</t>
        </is>
      </c>
      <c r="B102" s="1" t="n">
        <v>45315</v>
      </c>
      <c r="C102" s="1" t="n">
        <v>46179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13432-2023</t>
        </is>
      </c>
      <c r="B103" s="1" t="n">
        <v>45005.61023148148</v>
      </c>
      <c r="C103" s="1" t="n">
        <v>46179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46179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46179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53848-2023</t>
        </is>
      </c>
      <c r="B106" s="1" t="n">
        <v>45231</v>
      </c>
      <c r="C106" s="1" t="n">
        <v>46179</v>
      </c>
      <c r="D106" t="inlineStr">
        <is>
          <t>SKÅNE LÄN</t>
        </is>
      </c>
      <c r="E106" t="inlineStr">
        <is>
          <t>HÖÖR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14515-2023</t>
        </is>
      </c>
      <c r="B107" s="1" t="n">
        <v>45012</v>
      </c>
      <c r="C107" s="1" t="n">
        <v>46179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13429-2023</t>
        </is>
      </c>
      <c r="B108" s="1" t="n">
        <v>45005.60744212963</v>
      </c>
      <c r="C108" s="1" t="n">
        <v>46179</v>
      </c>
      <c r="D108" t="inlineStr">
        <is>
          <t>SKÅNE LÄN</t>
        </is>
      </c>
      <c r="E108" t="inlineStr">
        <is>
          <t>HÖÖR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12855-2023</t>
        </is>
      </c>
      <c r="B109" s="1" t="n">
        <v>45001</v>
      </c>
      <c r="C109" s="1" t="n">
        <v>46179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46179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46179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45092-2024</t>
        </is>
      </c>
      <c r="B112" s="1" t="n">
        <v>45575.5844212963</v>
      </c>
      <c r="C112" s="1" t="n">
        <v>46179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46179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46179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8290-2026</t>
        </is>
      </c>
      <c r="B115" s="1" t="n">
        <v>46064</v>
      </c>
      <c r="C115" s="1" t="n">
        <v>46179</v>
      </c>
      <c r="D115" t="inlineStr">
        <is>
          <t>SKÅNE LÄN</t>
        </is>
      </c>
      <c r="E115" t="inlineStr">
        <is>
          <t>HÖÖR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46179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61007-2024</t>
        </is>
      </c>
      <c r="B117" s="1" t="n">
        <v>45645.44342592593</v>
      </c>
      <c r="C117" s="1" t="n">
        <v>46179</v>
      </c>
      <c r="D117" t="inlineStr">
        <is>
          <t>SKÅNE LÄN</t>
        </is>
      </c>
      <c r="E117" t="inlineStr">
        <is>
          <t>HÖÖR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46179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8296-2026</t>
        </is>
      </c>
      <c r="B119" s="1" t="n">
        <v>46064</v>
      </c>
      <c r="C119" s="1" t="n">
        <v>46179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58807-2025</t>
        </is>
      </c>
      <c r="B120" s="1" t="n">
        <v>45987</v>
      </c>
      <c r="C120" s="1" t="n">
        <v>46179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46179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55347-2025</t>
        </is>
      </c>
      <c r="B122" s="1" t="n">
        <v>45971.35238425926</v>
      </c>
      <c r="C122" s="1" t="n">
        <v>46179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56304-2025</t>
        </is>
      </c>
      <c r="B123" s="1" t="n">
        <v>45974.60929398148</v>
      </c>
      <c r="C123" s="1" t="n">
        <v>46179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56307-2025</t>
        </is>
      </c>
      <c r="B124" s="1" t="n">
        <v>45974.61260416666</v>
      </c>
      <c r="C124" s="1" t="n">
        <v>46179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16969-2025</t>
        </is>
      </c>
      <c r="B125" s="1" t="n">
        <v>45755.4659837963</v>
      </c>
      <c r="C125" s="1" t="n">
        <v>46179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43877-2022</t>
        </is>
      </c>
      <c r="B126" s="1" t="n">
        <v>44838</v>
      </c>
      <c r="C126" s="1" t="n">
        <v>46179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46179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57982-2025</t>
        </is>
      </c>
      <c r="B128" s="1" t="n">
        <v>45982.41506944445</v>
      </c>
      <c r="C128" s="1" t="n">
        <v>46179</v>
      </c>
      <c r="D128" t="inlineStr">
        <is>
          <t>SKÅNE LÄN</t>
        </is>
      </c>
      <c r="E128" t="inlineStr">
        <is>
          <t>HÖÖR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65200-2021</t>
        </is>
      </c>
      <c r="B129" s="1" t="n">
        <v>44515</v>
      </c>
      <c r="C129" s="1" t="n">
        <v>46179</v>
      </c>
      <c r="D129" t="inlineStr">
        <is>
          <t>SKÅNE LÄN</t>
        </is>
      </c>
      <c r="E129" t="inlineStr">
        <is>
          <t>HÖÖR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6589-2025</t>
        </is>
      </c>
      <c r="B130" s="1" t="n">
        <v>45700.30015046296</v>
      </c>
      <c r="C130" s="1" t="n">
        <v>46179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13833-2026</t>
        </is>
      </c>
      <c r="B131" s="1" t="n">
        <v>46098.35686342593</v>
      </c>
      <c r="C131" s="1" t="n">
        <v>46179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16110-2024</t>
        </is>
      </c>
      <c r="B132" s="1" t="n">
        <v>45406</v>
      </c>
      <c r="C132" s="1" t="n">
        <v>46179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4928-2022</t>
        </is>
      </c>
      <c r="B133" s="1" t="n">
        <v>44593.47482638889</v>
      </c>
      <c r="C133" s="1" t="n">
        <v>46179</v>
      </c>
      <c r="D133" t="inlineStr">
        <is>
          <t>SKÅNE LÄN</t>
        </is>
      </c>
      <c r="E133" t="inlineStr">
        <is>
          <t>HÖÖR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2935-2024</t>
        </is>
      </c>
      <c r="B134" s="1" t="n">
        <v>45315</v>
      </c>
      <c r="C134" s="1" t="n">
        <v>46179</v>
      </c>
      <c r="D134" t="inlineStr">
        <is>
          <t>SKÅNE LÄN</t>
        </is>
      </c>
      <c r="E134" t="inlineStr">
        <is>
          <t>HÖÖR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13832-2026</t>
        </is>
      </c>
      <c r="B135" s="1" t="n">
        <v>46098.35547453703</v>
      </c>
      <c r="C135" s="1" t="n">
        <v>46179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46179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30087-2023</t>
        </is>
      </c>
      <c r="B137" s="1" t="n">
        <v>45110</v>
      </c>
      <c r="C137" s="1" t="n">
        <v>46179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61169-2025</t>
        </is>
      </c>
      <c r="B138" s="1" t="n">
        <v>46000</v>
      </c>
      <c r="C138" s="1" t="n">
        <v>46179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61175-2025</t>
        </is>
      </c>
      <c r="B139" s="1" t="n">
        <v>46000</v>
      </c>
      <c r="C139" s="1" t="n">
        <v>46179</v>
      </c>
      <c r="D139" t="inlineStr">
        <is>
          <t>SKÅNE LÄN</t>
        </is>
      </c>
      <c r="E139" t="inlineStr">
        <is>
          <t>HÖÖR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16434-2025</t>
        </is>
      </c>
      <c r="B140" s="1" t="n">
        <v>45751.48209490741</v>
      </c>
      <c r="C140" s="1" t="n">
        <v>46179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19633-2023</t>
        </is>
      </c>
      <c r="B141" s="1" t="n">
        <v>45051</v>
      </c>
      <c r="C141" s="1" t="n">
        <v>46179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38813-2025</t>
        </is>
      </c>
      <c r="B142" s="1" t="n">
        <v>45887</v>
      </c>
      <c r="C142" s="1" t="n">
        <v>46179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21229-2026</t>
        </is>
      </c>
      <c r="B143" s="1" t="n">
        <v>46146.81135416667</v>
      </c>
      <c r="C143" s="1" t="n">
        <v>46179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46179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531-2025</t>
        </is>
      </c>
      <c r="B145" s="1" t="n">
        <v>45664.50216435185</v>
      </c>
      <c r="C145" s="1" t="n">
        <v>46179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19629-2025</t>
        </is>
      </c>
      <c r="B146" s="1" t="n">
        <v>45770.64084490741</v>
      </c>
      <c r="C146" s="1" t="n">
        <v>46179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46179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56941-2025</t>
        </is>
      </c>
      <c r="B148" s="1" t="n">
        <v>45978</v>
      </c>
      <c r="C148" s="1" t="n">
        <v>46179</v>
      </c>
      <c r="D148" t="inlineStr">
        <is>
          <t>SKÅNE LÄN</t>
        </is>
      </c>
      <c r="E148" t="inlineStr">
        <is>
          <t>HÖÖR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6941-2024</t>
        </is>
      </c>
      <c r="B149" s="1" t="n">
        <v>45343.41258101852</v>
      </c>
      <c r="C149" s="1" t="n">
        <v>46179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6944-2024</t>
        </is>
      </c>
      <c r="B150" s="1" t="n">
        <v>45343.42164351852</v>
      </c>
      <c r="C150" s="1" t="n">
        <v>46179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3-2026</t>
        </is>
      </c>
      <c r="B151" s="1" t="n">
        <v>46023.44236111111</v>
      </c>
      <c r="C151" s="1" t="n">
        <v>46179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11-2026</t>
        </is>
      </c>
      <c r="B152" s="1" t="n">
        <v>46023.58386574074</v>
      </c>
      <c r="C152" s="1" t="n">
        <v>46179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7782-2022</t>
        </is>
      </c>
      <c r="B153" s="1" t="n">
        <v>44608</v>
      </c>
      <c r="C153" s="1" t="n">
        <v>46179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28335-2024</t>
        </is>
      </c>
      <c r="B154" s="1" t="n">
        <v>45477</v>
      </c>
      <c r="C154" s="1" t="n">
        <v>46179</v>
      </c>
      <c r="D154" t="inlineStr">
        <is>
          <t>SKÅNE LÄN</t>
        </is>
      </c>
      <c r="E154" t="inlineStr">
        <is>
          <t>HÖÖR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3407-2024</t>
        </is>
      </c>
      <c r="B155" s="1" t="n">
        <v>45318</v>
      </c>
      <c r="C155" s="1" t="n">
        <v>46179</v>
      </c>
      <c r="D155" t="inlineStr">
        <is>
          <t>SKÅNE LÄN</t>
        </is>
      </c>
      <c r="E155" t="inlineStr">
        <is>
          <t>HÖÖR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23005-2024</t>
        </is>
      </c>
      <c r="B156" s="1" t="n">
        <v>45450.32965277778</v>
      </c>
      <c r="C156" s="1" t="n">
        <v>46179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10007-2022</t>
        </is>
      </c>
      <c r="B157" s="1" t="n">
        <v>44621</v>
      </c>
      <c r="C157" s="1" t="n">
        <v>46179</v>
      </c>
      <c r="D157" t="inlineStr">
        <is>
          <t>SKÅNE LÄN</t>
        </is>
      </c>
      <c r="E157" t="inlineStr">
        <is>
          <t>HÖÖR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16789-2025</t>
        </is>
      </c>
      <c r="B158" s="1" t="n">
        <v>45754.60923611111</v>
      </c>
      <c r="C158" s="1" t="n">
        <v>46179</v>
      </c>
      <c r="D158" t="inlineStr">
        <is>
          <t>SKÅNE LÄN</t>
        </is>
      </c>
      <c r="E158" t="inlineStr">
        <is>
          <t>HÖÖR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46179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39603-2023</t>
        </is>
      </c>
      <c r="B160" s="1" t="n">
        <v>45167.46493055556</v>
      </c>
      <c r="C160" s="1" t="n">
        <v>46179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22514-2026</t>
        </is>
      </c>
      <c r="B161" s="1" t="n">
        <v>46155.45197916667</v>
      </c>
      <c r="C161" s="1" t="n">
        <v>46179</v>
      </c>
      <c r="D161" t="inlineStr">
        <is>
          <t>SKÅNE LÄN</t>
        </is>
      </c>
      <c r="E161" t="inlineStr">
        <is>
          <t>HÖÖR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54711-2024</t>
        </is>
      </c>
      <c r="B162" s="1" t="n">
        <v>45618</v>
      </c>
      <c r="C162" s="1" t="n">
        <v>46179</v>
      </c>
      <c r="D162" t="inlineStr">
        <is>
          <t>SKÅNE LÄN</t>
        </is>
      </c>
      <c r="E162" t="inlineStr">
        <is>
          <t>HÖÖR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3480-2022</t>
        </is>
      </c>
      <c r="B163" s="1" t="n">
        <v>44585.62603009259</v>
      </c>
      <c r="C163" s="1" t="n">
        <v>46179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37074-2024</t>
        </is>
      </c>
      <c r="B164" s="1" t="n">
        <v>45539</v>
      </c>
      <c r="C164" s="1" t="n">
        <v>46179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46179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5730-2022</t>
        </is>
      </c>
      <c r="B166" s="1" t="n">
        <v>44596</v>
      </c>
      <c r="C166" s="1" t="n">
        <v>46179</v>
      </c>
      <c r="D166" t="inlineStr">
        <is>
          <t>SKÅNE LÄN</t>
        </is>
      </c>
      <c r="E166" t="inlineStr">
        <is>
          <t>HÖÖR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37675-2023</t>
        </is>
      </c>
      <c r="B167" s="1" t="n">
        <v>45159.5582175926</v>
      </c>
      <c r="C167" s="1" t="n">
        <v>46179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22964-2026</t>
        </is>
      </c>
      <c r="B168" s="1" t="n">
        <v>46160.60466435185</v>
      </c>
      <c r="C168" s="1" t="n">
        <v>46179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5138-2022</t>
        </is>
      </c>
      <c r="B169" s="1" t="n">
        <v>44594</v>
      </c>
      <c r="C169" s="1" t="n">
        <v>46179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12025-2025</t>
        </is>
      </c>
      <c r="B170" s="1" t="n">
        <v>45728.63755787037</v>
      </c>
      <c r="C170" s="1" t="n">
        <v>46179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46179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46179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46179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18696-2026</t>
        </is>
      </c>
      <c r="B174" s="1" t="n">
        <v>46128</v>
      </c>
      <c r="C174" s="1" t="n">
        <v>46179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46179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18348-2022</t>
        </is>
      </c>
      <c r="B176" s="1" t="n">
        <v>44685.67729166667</v>
      </c>
      <c r="C176" s="1" t="n">
        <v>46179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46179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22966-2026</t>
        </is>
      </c>
      <c r="B178" s="1" t="n">
        <v>46160.60559027778</v>
      </c>
      <c r="C178" s="1" t="n">
        <v>46179</v>
      </c>
      <c r="D178" t="inlineStr">
        <is>
          <t>SKÅNE LÄN</t>
        </is>
      </c>
      <c r="E178" t="inlineStr">
        <is>
          <t>HÖÖR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46179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46179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1475-2022</t>
        </is>
      </c>
      <c r="B181" s="1" t="n">
        <v>44573.50236111111</v>
      </c>
      <c r="C181" s="1" t="n">
        <v>46179</v>
      </c>
      <c r="D181" t="inlineStr">
        <is>
          <t>SKÅNE LÄN</t>
        </is>
      </c>
      <c r="E181" t="inlineStr">
        <is>
          <t>HÖÖR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46179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46179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44960-2023</t>
        </is>
      </c>
      <c r="B184" s="1" t="n">
        <v>45190</v>
      </c>
      <c r="C184" s="1" t="n">
        <v>46179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36211-2024</t>
        </is>
      </c>
      <c r="B185" s="1" t="n">
        <v>45534</v>
      </c>
      <c r="C185" s="1" t="n">
        <v>46179</v>
      </c>
      <c r="D185" t="inlineStr">
        <is>
          <t>SKÅNE LÄN</t>
        </is>
      </c>
      <c r="E185" t="inlineStr">
        <is>
          <t>HÖÖR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42692-2022</t>
        </is>
      </c>
      <c r="B186" s="1" t="n">
        <v>44832</v>
      </c>
      <c r="C186" s="1" t="n">
        <v>46179</v>
      </c>
      <c r="D186" t="inlineStr">
        <is>
          <t>SKÅNE LÄN</t>
        </is>
      </c>
      <c r="E186" t="inlineStr">
        <is>
          <t>HÖÖR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46179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13437-2023</t>
        </is>
      </c>
      <c r="B188" s="1" t="n">
        <v>45005</v>
      </c>
      <c r="C188" s="1" t="n">
        <v>46179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17693-2026</t>
        </is>
      </c>
      <c r="B189" s="1" t="n">
        <v>46121</v>
      </c>
      <c r="C189" s="1" t="n">
        <v>46179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30645-2022</t>
        </is>
      </c>
      <c r="B190" s="1" t="n">
        <v>44763</v>
      </c>
      <c r="C190" s="1" t="n">
        <v>46179</v>
      </c>
      <c r="D190" t="inlineStr">
        <is>
          <t>SKÅNE LÄN</t>
        </is>
      </c>
      <c r="E190" t="inlineStr">
        <is>
          <t>HÖÖR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27233-2022</t>
        </is>
      </c>
      <c r="B191" s="1" t="n">
        <v>44741</v>
      </c>
      <c r="C191" s="1" t="n">
        <v>46179</v>
      </c>
      <c r="D191" t="inlineStr">
        <is>
          <t>SKÅNE LÄN</t>
        </is>
      </c>
      <c r="E191" t="inlineStr">
        <is>
          <t>HÖÖR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46179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20329-2026</t>
        </is>
      </c>
      <c r="B193" s="1" t="n">
        <v>46136</v>
      </c>
      <c r="C193" s="1" t="n">
        <v>46179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20329-2026</t>
        </is>
      </c>
      <c r="B194" s="1" t="n">
        <v>46136</v>
      </c>
      <c r="C194" s="1" t="n">
        <v>46179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70984-2021</t>
        </is>
      </c>
      <c r="B195" s="1" t="n">
        <v>44538</v>
      </c>
      <c r="C195" s="1" t="n">
        <v>46179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21066-2023</t>
        </is>
      </c>
      <c r="B196" s="1" t="n">
        <v>45061</v>
      </c>
      <c r="C196" s="1" t="n">
        <v>46179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57428-2023</t>
        </is>
      </c>
      <c r="B197" s="1" t="n">
        <v>45240</v>
      </c>
      <c r="C197" s="1" t="n">
        <v>46179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4247-2025</t>
        </is>
      </c>
      <c r="B198" s="1" t="n">
        <v>45685</v>
      </c>
      <c r="C198" s="1" t="n">
        <v>46179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26033-2022</t>
        </is>
      </c>
      <c r="B199" s="1" t="n">
        <v>44734</v>
      </c>
      <c r="C199" s="1" t="n">
        <v>46179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3940-2024</t>
        </is>
      </c>
      <c r="B200" s="1" t="n">
        <v>45322</v>
      </c>
      <c r="C200" s="1" t="n">
        <v>46179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46179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6440-2024</t>
        </is>
      </c>
      <c r="B202" s="1" t="n">
        <v>45338.65138888889</v>
      </c>
      <c r="C202" s="1" t="n">
        <v>46179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20512-2023</t>
        </is>
      </c>
      <c r="B203" s="1" t="n">
        <v>45057</v>
      </c>
      <c r="C203" s="1" t="n">
        <v>46179</v>
      </c>
      <c r="D203" t="inlineStr">
        <is>
          <t>SKÅNE LÄN</t>
        </is>
      </c>
      <c r="E203" t="inlineStr">
        <is>
          <t>HÖÖR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46179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35801-2024</t>
        </is>
      </c>
      <c r="B205" s="1" t="n">
        <v>45532</v>
      </c>
      <c r="C205" s="1" t="n">
        <v>46179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8305-2026</t>
        </is>
      </c>
      <c r="B206" s="1" t="n">
        <v>46064</v>
      </c>
      <c r="C206" s="1" t="n">
        <v>46179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63268-2023</t>
        </is>
      </c>
      <c r="B207" s="1" t="n">
        <v>45273.75299768519</v>
      </c>
      <c r="C207" s="1" t="n">
        <v>46179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46179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45216.56113425926</v>
      </c>
      <c r="C209" s="1" t="n">
        <v>46179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11379-2024</t>
        </is>
      </c>
      <c r="B210" s="1" t="n">
        <v>45372.43756944445</v>
      </c>
      <c r="C210" s="1" t="n">
        <v>46179</v>
      </c>
      <c r="D210" t="inlineStr">
        <is>
          <t>SKÅNE LÄN</t>
        </is>
      </c>
      <c r="E210" t="inlineStr">
        <is>
          <t>HÖÖR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18246-2023</t>
        </is>
      </c>
      <c r="B211" s="1" t="n">
        <v>45041</v>
      </c>
      <c r="C211" s="1" t="n">
        <v>46179</v>
      </c>
      <c r="D211" t="inlineStr">
        <is>
          <t>SKÅNE LÄN</t>
        </is>
      </c>
      <c r="E211" t="inlineStr">
        <is>
          <t>HÖÖR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46179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4501-2024</t>
        </is>
      </c>
      <c r="B213" s="1" t="n">
        <v>45327.61340277778</v>
      </c>
      <c r="C213" s="1" t="n">
        <v>46179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26757-2023</t>
        </is>
      </c>
      <c r="B214" s="1" t="n">
        <v>45093</v>
      </c>
      <c r="C214" s="1" t="n">
        <v>46179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4245-2025</t>
        </is>
      </c>
      <c r="B215" s="1" t="n">
        <v>45685</v>
      </c>
      <c r="C215" s="1" t="n">
        <v>46179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61377-2024</t>
        </is>
      </c>
      <c r="B216" s="1" t="n">
        <v>45646.39682870371</v>
      </c>
      <c r="C216" s="1" t="n">
        <v>46179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2114-2025</t>
        </is>
      </c>
      <c r="B217" s="1" t="n">
        <v>45672.6284375</v>
      </c>
      <c r="C217" s="1" t="n">
        <v>46179</v>
      </c>
      <c r="D217" t="inlineStr">
        <is>
          <t>SKÅNE LÄN</t>
        </is>
      </c>
      <c r="E217" t="inlineStr">
        <is>
          <t>HÖÖR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28385-2024</t>
        </is>
      </c>
      <c r="B218" s="1" t="n">
        <v>45477</v>
      </c>
      <c r="C218" s="1" t="n">
        <v>46179</v>
      </c>
      <c r="D218" t="inlineStr">
        <is>
          <t>SKÅNE LÄN</t>
        </is>
      </c>
      <c r="E218" t="inlineStr">
        <is>
          <t>HÖÖR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73544-2021</t>
        </is>
      </c>
      <c r="B219" s="1" t="n">
        <v>44551</v>
      </c>
      <c r="C219" s="1" t="n">
        <v>46179</v>
      </c>
      <c r="D219" t="inlineStr">
        <is>
          <t>SKÅNE LÄN</t>
        </is>
      </c>
      <c r="E219" t="inlineStr">
        <is>
          <t>HÖÖR</t>
        </is>
      </c>
      <c r="F219" t="inlineStr">
        <is>
          <t>Övriga statliga verk och myndigheter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43469-2024</t>
        </is>
      </c>
      <c r="B220" s="1" t="n">
        <v>45568.72523148148</v>
      </c>
      <c r="C220" s="1" t="n">
        <v>46179</v>
      </c>
      <c r="D220" t="inlineStr">
        <is>
          <t>SKÅNE LÄN</t>
        </is>
      </c>
      <c r="E220" t="inlineStr">
        <is>
          <t>HÖÖR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9466-2025</t>
        </is>
      </c>
      <c r="B221" s="1" t="n">
        <v>45715.46888888889</v>
      </c>
      <c r="C221" s="1" t="n">
        <v>46179</v>
      </c>
      <c r="D221" t="inlineStr">
        <is>
          <t>SKÅNE LÄN</t>
        </is>
      </c>
      <c r="E221" t="inlineStr">
        <is>
          <t>HÖÖR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27251-2024</t>
        </is>
      </c>
      <c r="B222" s="1" t="n">
        <v>45471</v>
      </c>
      <c r="C222" s="1" t="n">
        <v>46179</v>
      </c>
      <c r="D222" t="inlineStr">
        <is>
          <t>SKÅNE LÄN</t>
        </is>
      </c>
      <c r="E222" t="inlineStr">
        <is>
          <t>HÖÖR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23116-2025</t>
        </is>
      </c>
      <c r="B223" s="1" t="n">
        <v>45791.37001157407</v>
      </c>
      <c r="C223" s="1" t="n">
        <v>46179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12028-2025</t>
        </is>
      </c>
      <c r="B224" s="1" t="n">
        <v>45728.64225694445</v>
      </c>
      <c r="C224" s="1" t="n">
        <v>46179</v>
      </c>
      <c r="D224" t="inlineStr">
        <is>
          <t>SKÅNE LÄN</t>
        </is>
      </c>
      <c r="E224" t="inlineStr">
        <is>
          <t>HÖÖR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50250-2024</t>
        </is>
      </c>
      <c r="B225" s="1" t="n">
        <v>45600.57039351852</v>
      </c>
      <c r="C225" s="1" t="n">
        <v>46179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25795-2026</t>
        </is>
      </c>
      <c r="B226" s="1" t="n">
        <v>46178</v>
      </c>
      <c r="C226" s="1" t="n">
        <v>46179</v>
      </c>
      <c r="D226" t="inlineStr">
        <is>
          <t>SKÅNE LÄN</t>
        </is>
      </c>
      <c r="E226" t="inlineStr">
        <is>
          <t>HÖÖR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62944-2025</t>
        </is>
      </c>
      <c r="B227" s="1" t="n">
        <v>46009</v>
      </c>
      <c r="C227" s="1" t="n">
        <v>46179</v>
      </c>
      <c r="D227" t="inlineStr">
        <is>
          <t>SKÅNE LÄN</t>
        </is>
      </c>
      <c r="E227" t="inlineStr">
        <is>
          <t>HÖÖR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25559-2026</t>
        </is>
      </c>
      <c r="B228" s="1" t="n">
        <v>46177</v>
      </c>
      <c r="C228" s="1" t="n">
        <v>46179</v>
      </c>
      <c r="D228" t="inlineStr">
        <is>
          <t>SKÅNE LÄN</t>
        </is>
      </c>
      <c r="E228" t="inlineStr">
        <is>
          <t>HÖÖR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2026-06-06T10:38:31Z</dcterms:created>
  <dcterms:modified xmlns:dcterms="http://purl.org/dc/terms/" xmlns:xsi="http://www.w3.org/2001/XMLSchema-instance" xsi:type="dcterms:W3CDTF">2026-06-06T10:38:32Z</dcterms:modified>
</cp:coreProperties>
</file>