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46260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46260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46260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46260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46260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46260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46260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46260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46260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46260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46260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46260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46260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46260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46260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27233-2022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44741</v>
      </c>
      <c r="E32" s="1" t="n">
        <v>46260</v>
      </c>
      <c r="F32" t="inlineStr">
        <is>
          <t>SKÅNE LÄN</t>
        </is>
      </c>
      <c r="G32" t="inlineStr">
        <is>
          <t>HÖÖR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HYPERLINK("https://klasma.github.io/Logging_1267/artfynd/A 27233-2022 artfynd.xlsx", "A 27233-2022")</f>
        <v/>
      </c>
      <c r="X32">
        <f>HYPERLINK("https://klasma.github.io/Logging_1267/kartor/A 27233-2022 karta.png", "A 27233-2022")</f>
        <v/>
      </c>
      <c r="Y32">
        <f>HYPERLINK("https://klasma.github.io/Logging_1267/kartor_geotiff/A 27233-2022 georefererad karta.tif", "A 27233-2022")</f>
        <v/>
      </c>
      <c r="AA32">
        <f>HYPERLINK("https://klasma.github.io/Logging_1267/klagomål/A 27233-2022 FSC-klagomål.docx", "A 27233-2022")</f>
        <v/>
      </c>
      <c r="AB32">
        <f>HYPERLINK("https://klasma.github.io/Logging_1267/klagomålsmail/A 27233-2022 FSC-klagomål mail.docx", "A 27233-2022")</f>
        <v/>
      </c>
      <c r="AC32">
        <f>HYPERLINK("https://klasma.github.io/Logging_1267/tillsyn/A 27233-2022 tillsynsbegäran.docx", "A 27233-2022")</f>
        <v/>
      </c>
      <c r="AD32">
        <f>HYPERLINK("https://klasma.github.io/Logging_1267/tillsynsmail/A 27233-2022 tillsynsbegäran mail.docx", "A 27233-2022")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46260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46260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46260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46260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46260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46260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46260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46260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53956-2023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46260</v>
      </c>
      <c r="F41" t="inlineStr">
        <is>
          <t>SKÅNE LÄN</t>
        </is>
      </c>
      <c r="G41" t="inlineStr">
        <is>
          <t>HÖÖR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Ängskovall</t>
        </is>
      </c>
      <c r="W41">
        <f>HYPERLINK("https://klasma.github.io/Logging_1267/artfynd/A 53956-2023 artfynd.xlsx", "A 53956-2023")</f>
        <v/>
      </c>
      <c r="X41">
        <f>HYPERLINK("https://klasma.github.io/Logging_1267/kartor/A 53956-2023 karta.png", "A 53956-2023")</f>
        <v/>
      </c>
      <c r="Y41">
        <f>HYPERLINK("https://klasma.github.io/Logging_1267/kartor_geotiff/A 53956-2023 georefererad karta.tif", "A 53956-2023")</f>
        <v/>
      </c>
      <c r="AA41">
        <f>HYPERLINK("https://klasma.github.io/Logging_1267/klagomål/A 53956-2023 FSC-klagomål.docx", "A 53956-2023")</f>
        <v/>
      </c>
      <c r="AB41">
        <f>HYPERLINK("https://klasma.github.io/Logging_1267/klagomålsmail/A 53956-2023 FSC-klagomål mail.docx", "A 53956-2023")</f>
        <v/>
      </c>
      <c r="AC41">
        <f>HYPERLINK("https://klasma.github.io/Logging_1267/tillsyn/A 53956-2023 tillsynsbegäran.docx", "A 53956-2023")</f>
        <v/>
      </c>
      <c r="AD41">
        <f>HYPERLINK("https://klasma.github.io/Logging_1267/tillsynsmail/A 53956-2023 tillsynsbegäran mail.docx", "A 53956-2023")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46260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46260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Småvänderot</t>
        </is>
      </c>
      <c r="W43">
        <f>HYPERLINK("https://klasma.github.io/Logging_1267/artfynd/A 48926-2024 artfynd.xlsx", "A 48926-2024")</f>
        <v/>
      </c>
      <c r="X43">
        <f>HYPERLINK("https://klasma.github.io/Logging_1267/kartor/A 48926-2024 karta.png", "A 48926-2024")</f>
        <v/>
      </c>
      <c r="Y43">
        <f>HYPERLINK("https://klasma.github.io/Logging_1267/kartor_geotiff/A 48926-2024 georefererad karta.tif", "A 48926-2024")</f>
        <v/>
      </c>
      <c r="AA43">
        <f>HYPERLINK("https://klasma.github.io/Logging_1267/klagomål/A 48926-2024 FSC-klagomål.docx", "A 48926-2024")</f>
        <v/>
      </c>
      <c r="AB43">
        <f>HYPERLINK("https://klasma.github.io/Logging_1267/klagomålsmail/A 48926-2024 FSC-klagomål mail.docx", "A 48926-2024")</f>
        <v/>
      </c>
      <c r="AC43">
        <f>HYPERLINK("https://klasma.github.io/Logging_1267/tillsyn/A 48926-2024 tillsynsbegäran.docx", "A 48926-2024")</f>
        <v/>
      </c>
      <c r="AD43">
        <f>HYPERLINK("https://klasma.github.io/Logging_1267/tillsynsmail/A 48926-2024 tillsynsbegäran mail.docx", "A 48926-2024")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46260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46260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46260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46260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46260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46260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46260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46260</v>
      </c>
      <c r="F51" t="inlineStr">
        <is>
          <t>SKÅNE LÄN</t>
        </is>
      </c>
      <c r="G51" t="inlineStr">
        <is>
          <t>HÖÖR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46260</v>
      </c>
      <c r="F52" t="inlineStr">
        <is>
          <t>SKÅNE LÄN</t>
        </is>
      </c>
      <c r="G52" t="inlineStr">
        <is>
          <t>HÖÖR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46260</v>
      </c>
      <c r="F53" t="inlineStr">
        <is>
          <t>SKÅNE LÄN</t>
        </is>
      </c>
      <c r="G53" t="inlineStr">
        <is>
          <t>HÖÖR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46260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46260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46260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46260</v>
      </c>
      <c r="F57" t="inlineStr">
        <is>
          <t>SKÅNE LÄN</t>
        </is>
      </c>
      <c r="G57" t="inlineStr">
        <is>
          <t>HÖÖR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46260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46260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46260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46260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46260</v>
      </c>
      <c r="F62" t="inlineStr">
        <is>
          <t>SKÅNE LÄN</t>
        </is>
      </c>
      <c r="G62" t="inlineStr">
        <is>
          <t>HÖÖR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10007-2022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44621</v>
      </c>
      <c r="E63" s="1" t="n">
        <v>46260</v>
      </c>
      <c r="F63" t="inlineStr">
        <is>
          <t>SKÅNE LÄN</t>
        </is>
      </c>
      <c r="G63" t="inlineStr">
        <is>
          <t>HÖÖR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45159</v>
      </c>
      <c r="E64" s="1" t="n">
        <v>46260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46260</v>
      </c>
      <c r="F65" t="inlineStr">
        <is>
          <t>SKÅNE LÄN</t>
        </is>
      </c>
      <c r="G65" t="inlineStr">
        <is>
          <t>HÖÖR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46260</v>
      </c>
      <c r="F66" t="inlineStr">
        <is>
          <t>SKÅNE LÄN</t>
        </is>
      </c>
      <c r="G66" t="inlineStr">
        <is>
          <t>HÖÖR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31092-2023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45113</v>
      </c>
      <c r="E67" s="1" t="n">
        <v>46260</v>
      </c>
      <c r="F67" t="inlineStr">
        <is>
          <t>SKÅNE LÄN</t>
        </is>
      </c>
      <c r="G67" t="inlineStr">
        <is>
          <t>HÖÖR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45406</v>
      </c>
      <c r="E68" s="1" t="n">
        <v>46260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46260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46260</v>
      </c>
      <c r="F70" t="inlineStr">
        <is>
          <t>SKÅNE LÄN</t>
        </is>
      </c>
      <c r="G70" t="inlineStr">
        <is>
          <t>HÖÖR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46260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46260</v>
      </c>
      <c r="F72" t="inlineStr">
        <is>
          <t>SKÅNE LÄN</t>
        </is>
      </c>
      <c r="G72" t="inlineStr">
        <is>
          <t>HÖÖR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12855-2023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45001</v>
      </c>
      <c r="E73" s="1" t="n">
        <v>46260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45372</v>
      </c>
      <c r="E74" s="1" t="n">
        <v>46260</v>
      </c>
      <c r="F74" t="inlineStr">
        <is>
          <t>SKÅNE LÄN</t>
        </is>
      </c>
      <c r="G74" t="inlineStr">
        <is>
          <t>HÖÖR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46260</v>
      </c>
      <c r="F75" t="inlineStr">
        <is>
          <t>SKÅNE LÄN</t>
        </is>
      </c>
      <c r="G75" t="inlineStr">
        <is>
          <t>HÖÖR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46260</v>
      </c>
      <c r="F76" t="inlineStr">
        <is>
          <t>SKÅNE LÄN</t>
        </is>
      </c>
      <c r="G76" t="inlineStr">
        <is>
          <t>HÖÖR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46260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46260</v>
      </c>
      <c r="F78" t="inlineStr">
        <is>
          <t>SKÅNE LÄN</t>
        </is>
      </c>
      <c r="G78" t="inlineStr">
        <is>
          <t>HÖÖR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46260</v>
      </c>
      <c r="F79" t="inlineStr">
        <is>
          <t>SKÅNE LÄN</t>
        </is>
      </c>
      <c r="G79" t="inlineStr">
        <is>
          <t>HÖÖR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46260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46260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46260</v>
      </c>
      <c r="F82" t="inlineStr">
        <is>
          <t>SKÅNE LÄN</t>
        </is>
      </c>
      <c r="G82" t="inlineStr">
        <is>
          <t>HÖÖR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45323</v>
      </c>
      <c r="E83" s="1" t="n">
        <v>46260</v>
      </c>
      <c r="F83" t="inlineStr">
        <is>
          <t>SKÅNE LÄN</t>
        </is>
      </c>
      <c r="G83" t="inlineStr">
        <is>
          <t>HÖÖR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46260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46260</v>
      </c>
      <c r="F85" t="inlineStr">
        <is>
          <t>SKÅNE LÄN</t>
        </is>
      </c>
      <c r="G85" t="inlineStr">
        <is>
          <t>HÖÖR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46260</v>
      </c>
      <c r="F86" t="inlineStr">
        <is>
          <t>SKÅNE LÄN</t>
        </is>
      </c>
      <c r="G86" t="inlineStr">
        <is>
          <t>HÖÖR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8290-2026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46064</v>
      </c>
      <c r="E87" s="1" t="n">
        <v>46260</v>
      </c>
      <c r="F87" t="inlineStr">
        <is>
          <t>SKÅNE LÄN</t>
        </is>
      </c>
      <c r="G87" t="inlineStr">
        <is>
          <t>HÖÖR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46260</v>
      </c>
      <c r="F88" t="inlineStr">
        <is>
          <t>SKÅNE LÄN</t>
        </is>
      </c>
      <c r="G88" t="inlineStr">
        <is>
          <t>HÖÖR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46260</v>
      </c>
      <c r="F89" t="inlineStr">
        <is>
          <t>SKÅNE LÄN</t>
        </is>
      </c>
      <c r="G89" t="inlineStr">
        <is>
          <t>HÖÖR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46260</v>
      </c>
      <c r="F90" t="inlineStr">
        <is>
          <t>SKÅNE LÄN</t>
        </is>
      </c>
      <c r="G90" t="inlineStr">
        <is>
          <t>HÖÖR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46260</v>
      </c>
      <c r="F91" t="inlineStr">
        <is>
          <t>SKÅNE LÄN</t>
        </is>
      </c>
      <c r="G91" t="inlineStr">
        <is>
          <t>HÖÖR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46260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46260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46260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46260</v>
      </c>
      <c r="F95" t="inlineStr">
        <is>
          <t>SKÅNE LÄN</t>
        </is>
      </c>
      <c r="G95" t="inlineStr">
        <is>
          <t>HÖÖR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46260</v>
      </c>
      <c r="F96" t="inlineStr">
        <is>
          <t>SKÅNE LÄN</t>
        </is>
      </c>
      <c r="G96" t="inlineStr">
        <is>
          <t>HÖÖR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46260</v>
      </c>
      <c r="F97" t="inlineStr">
        <is>
          <t>SKÅNE LÄN</t>
        </is>
      </c>
      <c r="G97" t="inlineStr">
        <is>
          <t>HÖÖR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44741</v>
      </c>
      <c r="E98" s="1" t="n">
        <v>46260</v>
      </c>
      <c r="F98" t="inlineStr">
        <is>
          <t>SKÅNE LÄN</t>
        </is>
      </c>
      <c r="G98" t="inlineStr">
        <is>
          <t>HÖÖR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46260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46260</v>
      </c>
      <c r="F100" t="inlineStr">
        <is>
          <t>SKÅNE LÄN</t>
        </is>
      </c>
      <c r="G100" t="inlineStr">
        <is>
          <t>HÖÖR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45940</v>
      </c>
      <c r="E101" s="1" t="n">
        <v>46260</v>
      </c>
      <c r="F101" t="inlineStr">
        <is>
          <t>SKÅNE LÄN</t>
        </is>
      </c>
      <c r="G101" t="inlineStr">
        <is>
          <t>HÖÖR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45061</v>
      </c>
      <c r="E102" s="1" t="n">
        <v>46260</v>
      </c>
      <c r="F102" t="inlineStr">
        <is>
          <t>SKÅNE LÄN</t>
        </is>
      </c>
      <c r="G102" t="inlineStr">
        <is>
          <t>HÖÖR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46260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46260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45477</v>
      </c>
      <c r="E105" s="1" t="n">
        <v>46260</v>
      </c>
      <c r="F105" t="inlineStr">
        <is>
          <t>SKÅNE LÄN</t>
        </is>
      </c>
      <c r="G105" t="inlineStr">
        <is>
          <t>HÖÖR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46260</v>
      </c>
      <c r="F106" t="inlineStr">
        <is>
          <t>SKÅNE LÄN</t>
        </is>
      </c>
      <c r="G106" t="inlineStr">
        <is>
          <t>HÖÖR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46260</v>
      </c>
      <c r="F107" t="inlineStr">
        <is>
          <t>SKÅNE LÄN</t>
        </is>
      </c>
      <c r="G107" t="inlineStr">
        <is>
          <t>HÖÖR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17693-2026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46121</v>
      </c>
      <c r="E108" s="1" t="n">
        <v>46260</v>
      </c>
      <c r="F108" t="inlineStr">
        <is>
          <t>SKÅNE LÄN</t>
        </is>
      </c>
      <c r="G108" t="inlineStr">
        <is>
          <t>HÖÖR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46260</v>
      </c>
      <c r="F109" t="inlineStr">
        <is>
          <t>SKÅNE LÄN</t>
        </is>
      </c>
      <c r="G109" t="inlineStr">
        <is>
          <t>HÖÖR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46260</v>
      </c>
      <c r="F110" t="inlineStr">
        <is>
          <t>SKÅNE LÄN</t>
        </is>
      </c>
      <c r="G110" t="inlineStr">
        <is>
          <t>HÖÖR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46260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46064</v>
      </c>
      <c r="E112" s="1" t="n">
        <v>46260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46260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46260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46260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46260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45318</v>
      </c>
      <c r="E117" s="1" t="n">
        <v>46260</v>
      </c>
      <c r="F117" t="inlineStr">
        <is>
          <t>SKÅNE LÄN</t>
        </is>
      </c>
      <c r="G117" t="inlineStr">
        <is>
          <t>HÖÖR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46260</v>
      </c>
      <c r="F118" t="inlineStr">
        <is>
          <t>SKÅNE LÄN</t>
        </is>
      </c>
      <c r="G118" t="inlineStr">
        <is>
          <t>HÖÖR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46260</v>
      </c>
      <c r="F119" t="inlineStr">
        <is>
          <t>SKÅNE LÄN</t>
        </is>
      </c>
      <c r="G119" t="inlineStr">
        <is>
          <t>HÖÖR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46260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46260</v>
      </c>
      <c r="F121" t="inlineStr">
        <is>
          <t>SKÅNE LÄN</t>
        </is>
      </c>
      <c r="G121" t="inlineStr">
        <is>
          <t>HÖÖR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46260</v>
      </c>
      <c r="F122" t="inlineStr">
        <is>
          <t>SKÅNE LÄN</t>
        </is>
      </c>
      <c r="G122" t="inlineStr">
        <is>
          <t>HÖÖR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46260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44838</v>
      </c>
      <c r="E124" s="1" t="n">
        <v>46260</v>
      </c>
      <c r="F124" t="inlineStr">
        <is>
          <t>SKÅNE LÄN</t>
        </is>
      </c>
      <c r="G124" t="inlineStr">
        <is>
          <t>HÖÖR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46260</v>
      </c>
      <c r="F125" t="inlineStr">
        <is>
          <t>SKÅNE LÄN</t>
        </is>
      </c>
      <c r="G125" t="inlineStr">
        <is>
          <t>HÖÖR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46260</v>
      </c>
      <c r="F126" t="inlineStr">
        <is>
          <t>SKÅNE LÄN</t>
        </is>
      </c>
      <c r="G126" t="inlineStr">
        <is>
          <t>HÖÖR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46260</v>
      </c>
      <c r="F127" t="inlineStr">
        <is>
          <t>SKÅNE LÄN</t>
        </is>
      </c>
      <c r="G127" t="inlineStr">
        <is>
          <t>HÖÖR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45770</v>
      </c>
      <c r="E128" s="1" t="n">
        <v>46260</v>
      </c>
      <c r="F128" t="inlineStr">
        <is>
          <t>SKÅNE LÄN</t>
        </is>
      </c>
      <c r="G128" t="inlineStr">
        <is>
          <t>HÖÖR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46260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46260</v>
      </c>
      <c r="F130" t="inlineStr">
        <is>
          <t>SKÅNE LÄN</t>
        </is>
      </c>
      <c r="G130" t="inlineStr">
        <is>
          <t>HÖÖR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46260</v>
      </c>
      <c r="F131" t="inlineStr">
        <is>
          <t>SKÅNE LÄN</t>
        </is>
      </c>
      <c r="G131" t="inlineStr">
        <is>
          <t>HÖÖR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46260</v>
      </c>
      <c r="F132" t="inlineStr">
        <is>
          <t>SKÅNE LÄN</t>
        </is>
      </c>
      <c r="G132" t="inlineStr">
        <is>
          <t>HÖÖR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56941-2025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45978</v>
      </c>
      <c r="E133" s="1" t="n">
        <v>46260</v>
      </c>
      <c r="F133" t="inlineStr">
        <is>
          <t>SKÅNE LÄN</t>
        </is>
      </c>
      <c r="G133" t="inlineStr">
        <is>
          <t>HÖÖR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46023</v>
      </c>
      <c r="E134" s="1" t="n">
        <v>46260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46023</v>
      </c>
      <c r="E135" s="1" t="n">
        <v>46260</v>
      </c>
      <c r="F135" t="inlineStr">
        <is>
          <t>SKÅNE LÄN</t>
        </is>
      </c>
      <c r="G135" t="inlineStr">
        <is>
          <t>HÖÖR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46260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46260</v>
      </c>
      <c r="F137" t="inlineStr">
        <is>
          <t>SKÅNE LÄN</t>
        </is>
      </c>
      <c r="G137" t="inlineStr">
        <is>
          <t>HÖÖR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46260</v>
      </c>
      <c r="F138" t="inlineStr">
        <is>
          <t>SKÅNE LÄN</t>
        </is>
      </c>
      <c r="G138" t="inlineStr">
        <is>
          <t>HÖÖR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46184</v>
      </c>
      <c r="E139" s="1" t="n">
        <v>46260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46260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46260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46260</v>
      </c>
      <c r="F142" t="inlineStr">
        <is>
          <t>SKÅNE LÄN</t>
        </is>
      </c>
      <c r="G142" t="inlineStr">
        <is>
          <t>HÖÖR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46160</v>
      </c>
      <c r="E143" s="1" t="n">
        <v>46260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46260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46260</v>
      </c>
      <c r="F145" t="inlineStr">
        <is>
          <t>SKÅNE LÄN</t>
        </is>
      </c>
      <c r="G145" t="inlineStr">
        <is>
          <t>HÖÖR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46260</v>
      </c>
      <c r="F146" t="inlineStr">
        <is>
          <t>SKÅNE LÄN</t>
        </is>
      </c>
      <c r="G146" t="inlineStr">
        <is>
          <t>HÖÖR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46260</v>
      </c>
      <c r="F147" t="inlineStr">
        <is>
          <t>SKÅNE LÄN</t>
        </is>
      </c>
      <c r="G147" t="inlineStr">
        <is>
          <t>HÖÖR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46260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46260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46260</v>
      </c>
      <c r="F150" t="inlineStr">
        <is>
          <t>SKÅNE LÄN</t>
        </is>
      </c>
      <c r="G150" t="inlineStr">
        <is>
          <t>HÖÖR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46260</v>
      </c>
      <c r="F151" t="inlineStr">
        <is>
          <t>SKÅNE LÄN</t>
        </is>
      </c>
      <c r="G151" t="inlineStr">
        <is>
          <t>HÖÖR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46260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45574</v>
      </c>
      <c r="E153" s="1" t="n">
        <v>46260</v>
      </c>
      <c r="F153" t="inlineStr">
        <is>
          <t>SKÅNE LÄN</t>
        </is>
      </c>
      <c r="G153" t="inlineStr">
        <is>
          <t>HÖÖR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46260</v>
      </c>
      <c r="F154" t="inlineStr">
        <is>
          <t>SKÅNE LÄN</t>
        </is>
      </c>
      <c r="G154" t="inlineStr">
        <is>
          <t>HÖÖR</t>
        </is>
      </c>
      <c r="H154" t="inlineStr">
        <is>
          <t>Övriga statliga verk och myndigheter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46260</v>
      </c>
      <c r="F155" t="inlineStr">
        <is>
          <t>SKÅNE LÄN</t>
        </is>
      </c>
      <c r="G155" t="inlineStr">
        <is>
          <t>HÖÖR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46260</v>
      </c>
      <c r="F156" t="inlineStr">
        <is>
          <t>SKÅNE LÄN</t>
        </is>
      </c>
      <c r="G156" t="inlineStr">
        <is>
          <t>HÖÖR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46260</v>
      </c>
      <c r="F157" t="inlineStr">
        <is>
          <t>SKÅNE LÄN</t>
        </is>
      </c>
      <c r="G157" t="inlineStr">
        <is>
          <t>HÖÖR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7306-2023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44970</v>
      </c>
      <c r="E158" s="1" t="n">
        <v>46260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46260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46260</v>
      </c>
      <c r="F160" t="inlineStr">
        <is>
          <t>SKÅNE LÄN</t>
        </is>
      </c>
      <c r="G160" t="inlineStr">
        <is>
          <t>HÖÖR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44838</v>
      </c>
      <c r="E161" s="1" t="n">
        <v>46260</v>
      </c>
      <c r="F161" t="inlineStr">
        <is>
          <t>SKÅNE LÄN</t>
        </is>
      </c>
      <c r="G161" t="inlineStr">
        <is>
          <t>HÖÖR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46260</v>
      </c>
      <c r="F162" t="inlineStr">
        <is>
          <t>SKÅNE LÄN</t>
        </is>
      </c>
      <c r="G162" t="inlineStr">
        <is>
          <t>HÖÖR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65200-2021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44515</v>
      </c>
      <c r="E163" s="1" t="n">
        <v>46260</v>
      </c>
      <c r="F163" t="inlineStr">
        <is>
          <t>SKÅNE LÄN</t>
        </is>
      </c>
      <c r="G163" t="inlineStr">
        <is>
          <t>HÖÖR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46260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46260</v>
      </c>
      <c r="F165" t="inlineStr">
        <is>
          <t>SKÅNE LÄN</t>
        </is>
      </c>
      <c r="G165" t="inlineStr">
        <is>
          <t>HÖÖR</t>
        </is>
      </c>
      <c r="H165" t="inlineStr">
        <is>
          <t>Övriga statliga verk och myndigheter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46260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45338</v>
      </c>
      <c r="E167" s="1" t="n">
        <v>46260</v>
      </c>
      <c r="F167" t="inlineStr">
        <is>
          <t>SKÅNE LÄN</t>
        </is>
      </c>
      <c r="G167" t="inlineStr">
        <is>
          <t>HÖÖR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46260</v>
      </c>
      <c r="F168" t="inlineStr">
        <is>
          <t>SKÅNE LÄN</t>
        </is>
      </c>
      <c r="G168" t="inlineStr">
        <is>
          <t>HÖÖR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46260</v>
      </c>
      <c r="F169" t="inlineStr">
        <is>
          <t>SKÅNE LÄN</t>
        </is>
      </c>
      <c r="G169" t="inlineStr">
        <is>
          <t>HÖÖR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46260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46260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46260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46260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46260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46260</v>
      </c>
      <c r="F175" t="inlineStr">
        <is>
          <t>SKÅNE LÄN</t>
        </is>
      </c>
      <c r="G175" t="inlineStr">
        <is>
          <t>HÖÖR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46260</v>
      </c>
      <c r="F176" t="inlineStr">
        <is>
          <t>SKÅNE LÄN</t>
        </is>
      </c>
      <c r="G176" t="inlineStr">
        <is>
          <t>HÖÖR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46260</v>
      </c>
      <c r="F177" t="inlineStr">
        <is>
          <t>SKÅNE LÄN</t>
        </is>
      </c>
      <c r="G177" t="inlineStr">
        <is>
          <t>HÖÖR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46260</v>
      </c>
      <c r="F178" t="inlineStr">
        <is>
          <t>SKÅNE LÄN</t>
        </is>
      </c>
      <c r="G178" t="inlineStr">
        <is>
          <t>HÖÖR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46260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46196</v>
      </c>
      <c r="E180" s="1" t="n">
        <v>46260</v>
      </c>
      <c r="F180" t="inlineStr">
        <is>
          <t>SKÅNE LÄN</t>
        </is>
      </c>
      <c r="G180" t="inlineStr">
        <is>
          <t>HÖÖR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44594</v>
      </c>
      <c r="E181" s="1" t="n">
        <v>46260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46260</v>
      </c>
      <c r="F182" t="inlineStr">
        <is>
          <t>SKÅNE LÄN</t>
        </is>
      </c>
      <c r="G182" t="inlineStr">
        <is>
          <t>HÖÖR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46260</v>
      </c>
      <c r="F183" t="inlineStr">
        <is>
          <t>SKÅNE LÄN</t>
        </is>
      </c>
      <c r="G183" t="inlineStr">
        <is>
          <t>HÖÖR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46260</v>
      </c>
      <c r="F184" t="inlineStr">
        <is>
          <t>SKÅNE LÄN</t>
        </is>
      </c>
      <c r="G184" t="inlineStr">
        <is>
          <t>HÖÖR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45755</v>
      </c>
      <c r="E185" s="1" t="n">
        <v>46260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46260</v>
      </c>
      <c r="F186" t="inlineStr">
        <is>
          <t>SKÅNE LÄN</t>
        </is>
      </c>
      <c r="G186" t="inlineStr">
        <is>
          <t>HÖÖR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46260</v>
      </c>
      <c r="F187" t="inlineStr">
        <is>
          <t>SKÅNE LÄN</t>
        </is>
      </c>
      <c r="G187" t="inlineStr">
        <is>
          <t>HÖÖR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46260</v>
      </c>
      <c r="F188" t="inlineStr">
        <is>
          <t>SKÅNE LÄN</t>
        </is>
      </c>
      <c r="G188" t="inlineStr">
        <is>
          <t>HÖÖR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46260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46260</v>
      </c>
      <c r="F190" t="inlineStr">
        <is>
          <t>SKÅNE LÄN</t>
        </is>
      </c>
      <c r="G190" t="inlineStr">
        <is>
          <t>HÖÖR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46260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44860</v>
      </c>
      <c r="E192" s="1" t="n">
        <v>46260</v>
      </c>
      <c r="F192" t="inlineStr">
        <is>
          <t>SKÅNE LÄN</t>
        </is>
      </c>
      <c r="G192" t="inlineStr">
        <is>
          <t>HÖÖR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46260</v>
      </c>
      <c r="F193" t="inlineStr">
        <is>
          <t>SKÅNE LÄN</t>
        </is>
      </c>
      <c r="G193" t="inlineStr">
        <is>
          <t>HÖÖR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46255</v>
      </c>
      <c r="E194" s="1" t="n">
        <v>46260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46260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46260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46260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46260</v>
      </c>
      <c r="F198" t="inlineStr">
        <is>
          <t>SKÅNE LÄN</t>
        </is>
      </c>
      <c r="G198" t="inlineStr">
        <is>
          <t>HÖÖR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45450</v>
      </c>
      <c r="E199" s="1" t="n">
        <v>46260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46260</v>
      </c>
      <c r="F200" t="inlineStr">
        <is>
          <t>SKÅNE LÄN</t>
        </is>
      </c>
      <c r="G200" t="inlineStr">
        <is>
          <t>HÖÖR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46260</v>
      </c>
      <c r="F201" t="inlineStr">
        <is>
          <t>SKÅNE LÄN</t>
        </is>
      </c>
      <c r="G201" t="inlineStr">
        <is>
          <t>HÖÖR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45526</v>
      </c>
      <c r="E202" s="1" t="n">
        <v>46260</v>
      </c>
      <c r="F202" t="inlineStr">
        <is>
          <t>SKÅNE LÄN</t>
        </is>
      </c>
      <c r="G202" t="inlineStr">
        <is>
          <t>HÖÖR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45001</v>
      </c>
      <c r="E203" s="1" t="n">
        <v>46260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46260</v>
      </c>
      <c r="F204" t="inlineStr">
        <is>
          <t>SKÅNE LÄN</t>
        </is>
      </c>
      <c r="G204" t="inlineStr">
        <is>
          <t>HÖÖR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45051</v>
      </c>
      <c r="E205" s="1" t="n">
        <v>46260</v>
      </c>
      <c r="F205" t="inlineStr">
        <is>
          <t>SKÅNE LÄN</t>
        </is>
      </c>
      <c r="G205" t="inlineStr">
        <is>
          <t>HÖÖR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46260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46260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46260</v>
      </c>
      <c r="F208" t="inlineStr">
        <is>
          <t>SKÅNE LÄN</t>
        </is>
      </c>
      <c r="G208" t="inlineStr">
        <is>
          <t>HÖÖR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46260</v>
      </c>
      <c r="F209" t="inlineStr">
        <is>
          <t>SKÅNE LÄN</t>
        </is>
      </c>
      <c r="G209" t="inlineStr">
        <is>
          <t>HÖÖR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45327</v>
      </c>
      <c r="E210" s="1" t="n">
        <v>46260</v>
      </c>
      <c r="F210" t="inlineStr">
        <is>
          <t>SKÅNE LÄN</t>
        </is>
      </c>
      <c r="G210" t="inlineStr">
        <is>
          <t>HÖÖR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46260</v>
      </c>
      <c r="F211" t="inlineStr">
        <is>
          <t>SKÅNE LÄN</t>
        </is>
      </c>
      <c r="G211" t="inlineStr">
        <is>
          <t>HÖÖR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46260</v>
      </c>
      <c r="F212" t="inlineStr">
        <is>
          <t>SKÅNE LÄN</t>
        </is>
      </c>
      <c r="G212" t="inlineStr">
        <is>
          <t>HÖÖR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44608</v>
      </c>
      <c r="E213" s="1" t="n">
        <v>46260</v>
      </c>
      <c r="F213" t="inlineStr">
        <is>
          <t>SKÅNE LÄN</t>
        </is>
      </c>
      <c r="G213" t="inlineStr">
        <is>
          <t>HÖÖR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46260</v>
      </c>
      <c r="F214" t="inlineStr">
        <is>
          <t>SKÅNE LÄN</t>
        </is>
      </c>
      <c r="G214" t="inlineStr">
        <is>
          <t>HÖÖR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46260</v>
      </c>
      <c r="F215" t="inlineStr">
        <is>
          <t>SKÅNE LÄN</t>
        </is>
      </c>
      <c r="G215" t="inlineStr">
        <is>
          <t>HÖÖR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46260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45568</v>
      </c>
      <c r="E217" s="1" t="n">
        <v>46260</v>
      </c>
      <c r="F217" t="inlineStr">
        <is>
          <t>SKÅNE LÄN</t>
        </is>
      </c>
      <c r="G217" t="inlineStr">
        <is>
          <t>HÖÖR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73544-2021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44551</v>
      </c>
      <c r="E218" s="1" t="n">
        <v>46260</v>
      </c>
      <c r="F218" t="inlineStr">
        <is>
          <t>SKÅNE LÄN</t>
        </is>
      </c>
      <c r="G218" t="inlineStr">
        <is>
          <t>HÖÖR</t>
        </is>
      </c>
      <c r="H218" t="inlineStr">
        <is>
          <t>Övriga statliga verk och myndigheter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46260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46260</v>
      </c>
      <c r="F220" t="inlineStr">
        <is>
          <t>SKÅNE LÄN</t>
        </is>
      </c>
      <c r="G220" t="inlineStr">
        <is>
          <t>HÖÖR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46260</v>
      </c>
      <c r="F221" t="inlineStr">
        <is>
          <t>SKÅNE LÄN</t>
        </is>
      </c>
      <c r="G221" t="inlineStr">
        <is>
          <t>HÖÖR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46260</v>
      </c>
      <c r="F222" t="inlineStr">
        <is>
          <t>SKÅNE LÄN</t>
        </is>
      </c>
      <c r="G222" t="inlineStr">
        <is>
          <t>HÖÖR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45645</v>
      </c>
      <c r="E223" s="1" t="n">
        <v>46260</v>
      </c>
      <c r="F223" t="inlineStr">
        <is>
          <t>SKÅNE LÄN</t>
        </is>
      </c>
      <c r="G223" t="inlineStr">
        <is>
          <t>HÖÖR</t>
        </is>
      </c>
      <c r="H223" t="inlineStr">
        <is>
          <t>Kommuner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45471</v>
      </c>
      <c r="E224" s="1" t="n">
        <v>46260</v>
      </c>
      <c r="F224" t="inlineStr">
        <is>
          <t>SKÅNE LÄN</t>
        </is>
      </c>
      <c r="G224" t="inlineStr">
        <is>
          <t>HÖÖR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46260</v>
      </c>
      <c r="F225" t="inlineStr">
        <is>
          <t>SKÅNE LÄN</t>
        </is>
      </c>
      <c r="G225" t="inlineStr">
        <is>
          <t>HÖÖR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46260</v>
      </c>
      <c r="F226" t="inlineStr">
        <is>
          <t>SKÅNE LÄN</t>
        </is>
      </c>
      <c r="G226" t="inlineStr">
        <is>
          <t>HÖÖR</t>
        </is>
      </c>
      <c r="I226" t="n">
        <v>28.4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46260</v>
      </c>
      <c r="F227" t="inlineStr">
        <is>
          <t>SKÅNE LÄN</t>
        </is>
      </c>
      <c r="G227" t="inlineStr">
        <is>
          <t>HÖÖR</t>
        </is>
      </c>
      <c r="I227" t="n">
        <v>12.3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51131-2021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44461</v>
      </c>
      <c r="E228" s="1" t="n">
        <v>46260</v>
      </c>
      <c r="F228" t="inlineStr">
        <is>
          <t>SKÅNE LÄN</t>
        </is>
      </c>
      <c r="G228" t="inlineStr">
        <is>
          <t>HÖÖR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60425-2022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44911</v>
      </c>
      <c r="E229" s="1" t="n">
        <v>46260</v>
      </c>
      <c r="F229" t="inlineStr">
        <is>
          <t>SKÅNE LÄN</t>
        </is>
      </c>
      <c r="G229" t="inlineStr">
        <is>
          <t>HÖÖR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61087-2022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44915</v>
      </c>
      <c r="E230" s="1" t="n">
        <v>46260</v>
      </c>
      <c r="F230" t="inlineStr">
        <is>
          <t>SKÅNE LÄN</t>
        </is>
      </c>
      <c r="G230" t="inlineStr">
        <is>
          <t>HÖÖR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46260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46260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46260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46260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46260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46260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46260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46260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46260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46260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46260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46260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46260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46260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2026-08-26T01:52:04Z</dcterms:created>
  <dcterms:modified xmlns:dcterms="http://purl.org/dc/terms/" xmlns:xsi="http://www.w3.org/2001/XMLSchema-instance" xsi:type="dcterms:W3CDTF">2026-08-26T01:52:05Z</dcterms:modified>
</cp:coreProperties>
</file>