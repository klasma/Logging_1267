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45904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45904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45904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45904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45904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45904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45904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45904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45904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45904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45904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45904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45904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45904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45904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45904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2942-2024</t>
        </is>
      </c>
      <c r="B18" s="1" t="n">
        <v>45315</v>
      </c>
      <c r="C18" s="1" t="n">
        <v>45904</v>
      </c>
      <c r="D18" t="inlineStr">
        <is>
          <t>SKÅNE LÄN</t>
        </is>
      </c>
      <c r="E18" t="inlineStr">
        <is>
          <t>HÖÖR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HYPERLINK("https://klasma.github.io/Logging_1267/artfynd/A 2942-2024 artfynd.xlsx", "A 2942-2024")</f>
        <v/>
      </c>
      <c r="T18">
        <f>HYPERLINK("https://klasma.github.io/Logging_1267/kartor/A 2942-2024 karta.png", "A 2942-2024")</f>
        <v/>
      </c>
      <c r="V18">
        <f>HYPERLINK("https://klasma.github.io/Logging_1267/klagomål/A 2942-2024 FSC-klagomål.docx", "A 2942-2024")</f>
        <v/>
      </c>
      <c r="W18">
        <f>HYPERLINK("https://klasma.github.io/Logging_1267/klagomålsmail/A 2942-2024 FSC-klagomål mail.docx", "A 2942-2024")</f>
        <v/>
      </c>
      <c r="X18">
        <f>HYPERLINK("https://klasma.github.io/Logging_1267/tillsyn/A 2942-2024 tillsynsbegäran.docx", "A 2942-2024")</f>
        <v/>
      </c>
      <c r="Y18">
        <f>HYPERLINK("https://klasma.github.io/Logging_1267/tillsynsmail/A 2942-2024 tillsynsbegäran mail.docx", "A 2942-2024")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45904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45904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45904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45904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45904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45904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45904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45904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45904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45904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45904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45904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45904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45904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45904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45904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45904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45904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45904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45904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45904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45904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45904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45904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45904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45904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51857-2020</t>
        </is>
      </c>
      <c r="B45" s="1" t="n">
        <v>44116</v>
      </c>
      <c r="C45" s="1" t="n">
        <v>45904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45904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45904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45904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45904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45904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19629-2025</t>
        </is>
      </c>
      <c r="B51" s="1" t="n">
        <v>45770.64084490741</v>
      </c>
      <c r="C51" s="1" t="n">
        <v>45904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45904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53460-2022</t>
        </is>
      </c>
      <c r="B53" s="1" t="n">
        <v>44879</v>
      </c>
      <c r="C53" s="1" t="n">
        <v>45904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35491-2021</t>
        </is>
      </c>
      <c r="B54" s="1" t="n">
        <v>44385</v>
      </c>
      <c r="C54" s="1" t="n">
        <v>45904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45904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45904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3480-2022</t>
        </is>
      </c>
      <c r="B57" s="1" t="n">
        <v>44585.62603009259</v>
      </c>
      <c r="C57" s="1" t="n">
        <v>45904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27233-2022</t>
        </is>
      </c>
      <c r="B58" s="1" t="n">
        <v>44741</v>
      </c>
      <c r="C58" s="1" t="n">
        <v>45904</v>
      </c>
      <c r="D58" t="inlineStr">
        <is>
          <t>SKÅNE LÄN</t>
        </is>
      </c>
      <c r="E58" t="inlineStr">
        <is>
          <t>HÖÖR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30087-2023</t>
        </is>
      </c>
      <c r="B59" s="1" t="n">
        <v>45110</v>
      </c>
      <c r="C59" s="1" t="n">
        <v>45904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37675-2023</t>
        </is>
      </c>
      <c r="B60" s="1" t="n">
        <v>45159.5582175926</v>
      </c>
      <c r="C60" s="1" t="n">
        <v>45904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30645-2022</t>
        </is>
      </c>
      <c r="B61" s="1" t="n">
        <v>44763</v>
      </c>
      <c r="C61" s="1" t="n">
        <v>45904</v>
      </c>
      <c r="D61" t="inlineStr">
        <is>
          <t>SKÅNE LÄN</t>
        </is>
      </c>
      <c r="E61" t="inlineStr">
        <is>
          <t>HÖÖR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45904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19196-2021</t>
        </is>
      </c>
      <c r="B63" s="1" t="n">
        <v>44308</v>
      </c>
      <c r="C63" s="1" t="n">
        <v>45904</v>
      </c>
      <c r="D63" t="inlineStr">
        <is>
          <t>SKÅNE LÄN</t>
        </is>
      </c>
      <c r="E63" t="inlineStr">
        <is>
          <t>HÖÖR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45751.48209490741</v>
      </c>
      <c r="C64" s="1" t="n">
        <v>45904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16789-2025</t>
        </is>
      </c>
      <c r="B65" s="1" t="n">
        <v>45754.60923611111</v>
      </c>
      <c r="C65" s="1" t="n">
        <v>45904</v>
      </c>
      <c r="D65" t="inlineStr">
        <is>
          <t>SKÅNE LÄN</t>
        </is>
      </c>
      <c r="E65" t="inlineStr">
        <is>
          <t>HÖÖR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44728-2024</t>
        </is>
      </c>
      <c r="B66" s="1" t="n">
        <v>45574.57978009259</v>
      </c>
      <c r="C66" s="1" t="n">
        <v>45904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45904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73544-2021</t>
        </is>
      </c>
      <c r="B68" s="1" t="n">
        <v>44551</v>
      </c>
      <c r="C68" s="1" t="n">
        <v>45904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26033-2022</t>
        </is>
      </c>
      <c r="B69" s="1" t="n">
        <v>44734</v>
      </c>
      <c r="C69" s="1" t="n">
        <v>45904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15657-2025</t>
        </is>
      </c>
      <c r="B70" s="1" t="n">
        <v>45748</v>
      </c>
      <c r="C70" s="1" t="n">
        <v>45904</v>
      </c>
      <c r="D70" t="inlineStr">
        <is>
          <t>SKÅNE LÄN</t>
        </is>
      </c>
      <c r="E70" t="inlineStr">
        <is>
          <t>HÖÖR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7306-2023</t>
        </is>
      </c>
      <c r="B71" s="1" t="n">
        <v>44970</v>
      </c>
      <c r="C71" s="1" t="n">
        <v>45904</v>
      </c>
      <c r="D71" t="inlineStr">
        <is>
          <t>SKÅNE LÄN</t>
        </is>
      </c>
      <c r="E71" t="inlineStr">
        <is>
          <t>HÖÖR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18345-2022</t>
        </is>
      </c>
      <c r="B72" s="1" t="n">
        <v>44685</v>
      </c>
      <c r="C72" s="1" t="n">
        <v>45904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36211-2024</t>
        </is>
      </c>
      <c r="B73" s="1" t="n">
        <v>45534</v>
      </c>
      <c r="C73" s="1" t="n">
        <v>45904</v>
      </c>
      <c r="D73" t="inlineStr">
        <is>
          <t>SKÅNE LÄN</t>
        </is>
      </c>
      <c r="E73" t="inlineStr">
        <is>
          <t>HÖÖR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45904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50250-2024</t>
        </is>
      </c>
      <c r="B75" s="1" t="n">
        <v>45600.57039351852</v>
      </c>
      <c r="C75" s="1" t="n">
        <v>45904</v>
      </c>
      <c r="D75" t="inlineStr">
        <is>
          <t>SKÅNE LÄN</t>
        </is>
      </c>
      <c r="E75" t="inlineStr">
        <is>
          <t>HÖÖR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9466-2025</t>
        </is>
      </c>
      <c r="B76" s="1" t="n">
        <v>45715.46888888889</v>
      </c>
      <c r="C76" s="1" t="n">
        <v>45904</v>
      </c>
      <c r="D76" t="inlineStr">
        <is>
          <t>SKÅNE LÄN</t>
        </is>
      </c>
      <c r="E76" t="inlineStr">
        <is>
          <t>HÖÖR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36119-2024</t>
        </is>
      </c>
      <c r="B77" s="1" t="n">
        <v>45534</v>
      </c>
      <c r="C77" s="1" t="n">
        <v>45904</v>
      </c>
      <c r="D77" t="inlineStr">
        <is>
          <t>SKÅNE LÄN</t>
        </is>
      </c>
      <c r="E77" t="inlineStr">
        <is>
          <t>HÖÖR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43891-2022</t>
        </is>
      </c>
      <c r="B78" s="1" t="n">
        <v>44838</v>
      </c>
      <c r="C78" s="1" t="n">
        <v>45904</v>
      </c>
      <c r="D78" t="inlineStr">
        <is>
          <t>SKÅNE LÄN</t>
        </is>
      </c>
      <c r="E78" t="inlineStr">
        <is>
          <t>HÖÖR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12028-2025</t>
        </is>
      </c>
      <c r="B79" s="1" t="n">
        <v>45728.64225694445</v>
      </c>
      <c r="C79" s="1" t="n">
        <v>45904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23116-2025</t>
        </is>
      </c>
      <c r="B80" s="1" t="n">
        <v>45791.37001157407</v>
      </c>
      <c r="C80" s="1" t="n">
        <v>45904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12842-2023</t>
        </is>
      </c>
      <c r="B81" s="1" t="n">
        <v>45001</v>
      </c>
      <c r="C81" s="1" t="n">
        <v>45904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27251-2024</t>
        </is>
      </c>
      <c r="B82" s="1" t="n">
        <v>45471</v>
      </c>
      <c r="C82" s="1" t="n">
        <v>45904</v>
      </c>
      <c r="D82" t="inlineStr">
        <is>
          <t>SKÅNE LÄN</t>
        </is>
      </c>
      <c r="E82" t="inlineStr">
        <is>
          <t>HÖÖR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57461-2022</t>
        </is>
      </c>
      <c r="B83" s="1" t="n">
        <v>44896</v>
      </c>
      <c r="C83" s="1" t="n">
        <v>45904</v>
      </c>
      <c r="D83" t="inlineStr">
        <is>
          <t>SKÅNE LÄN</t>
        </is>
      </c>
      <c r="E83" t="inlineStr">
        <is>
          <t>HÖÖR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48921-2024</t>
        </is>
      </c>
      <c r="B84" s="1" t="n">
        <v>45594</v>
      </c>
      <c r="C84" s="1" t="n">
        <v>45904</v>
      </c>
      <c r="D84" t="inlineStr">
        <is>
          <t>SKÅNE LÄN</t>
        </is>
      </c>
      <c r="E84" t="inlineStr">
        <is>
          <t>HÖÖR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28385-2024</t>
        </is>
      </c>
      <c r="B85" s="1" t="n">
        <v>45477</v>
      </c>
      <c r="C85" s="1" t="n">
        <v>45904</v>
      </c>
      <c r="D85" t="inlineStr">
        <is>
          <t>SKÅNE LÄN</t>
        </is>
      </c>
      <c r="E85" t="inlineStr">
        <is>
          <t>HÖÖR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45904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48909-2024</t>
        </is>
      </c>
      <c r="B87" s="1" t="n">
        <v>45594</v>
      </c>
      <c r="C87" s="1" t="n">
        <v>45904</v>
      </c>
      <c r="D87" t="inlineStr">
        <is>
          <t>SKÅNE LÄN</t>
        </is>
      </c>
      <c r="E87" t="inlineStr">
        <is>
          <t>HÖÖR</t>
        </is>
      </c>
      <c r="G87" t="n">
        <v>28.4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65200-2021</t>
        </is>
      </c>
      <c r="B88" s="1" t="n">
        <v>44515</v>
      </c>
      <c r="C88" s="1" t="n">
        <v>45904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46777-2024</t>
        </is>
      </c>
      <c r="B89" s="1" t="n">
        <v>45583</v>
      </c>
      <c r="C89" s="1" t="n">
        <v>45904</v>
      </c>
      <c r="D89" t="inlineStr">
        <is>
          <t>SKÅNE LÄN</t>
        </is>
      </c>
      <c r="E89" t="inlineStr">
        <is>
          <t>HÖÖR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7655-2025</t>
        </is>
      </c>
      <c r="B90" s="1" t="n">
        <v>45706</v>
      </c>
      <c r="C90" s="1" t="n">
        <v>45904</v>
      </c>
      <c r="D90" t="inlineStr">
        <is>
          <t>SKÅNE LÄN</t>
        </is>
      </c>
      <c r="E90" t="inlineStr">
        <is>
          <t>HÖÖR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13475-2024</t>
        </is>
      </c>
      <c r="B91" s="1" t="n">
        <v>45387.58354166667</v>
      </c>
      <c r="C91" s="1" t="n">
        <v>45904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14554-2025</t>
        </is>
      </c>
      <c r="B92" s="1" t="n">
        <v>45741</v>
      </c>
      <c r="C92" s="1" t="n">
        <v>45904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52281-2024</t>
        </is>
      </c>
      <c r="B93" s="1" t="n">
        <v>45608</v>
      </c>
      <c r="C93" s="1" t="n">
        <v>45904</v>
      </c>
      <c r="D93" t="inlineStr">
        <is>
          <t>SKÅNE LÄN</t>
        </is>
      </c>
      <c r="E93" t="inlineStr">
        <is>
          <t>HÖÖR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51131-2021</t>
        </is>
      </c>
      <c r="B94" s="1" t="n">
        <v>44461</v>
      </c>
      <c r="C94" s="1" t="n">
        <v>45904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18032-2025</t>
        </is>
      </c>
      <c r="B95" s="1" t="n">
        <v>45761.45151620371</v>
      </c>
      <c r="C95" s="1" t="n">
        <v>45904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60425-2022</t>
        </is>
      </c>
      <c r="B96" s="1" t="n">
        <v>44911</v>
      </c>
      <c r="C96" s="1" t="n">
        <v>45904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61087-2022</t>
        </is>
      </c>
      <c r="B97" s="1" t="n">
        <v>44915</v>
      </c>
      <c r="C97" s="1" t="n">
        <v>45904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26251-2025</t>
        </is>
      </c>
      <c r="B98" s="1" t="n">
        <v>45805.57872685185</v>
      </c>
      <c r="C98" s="1" t="n">
        <v>45904</v>
      </c>
      <c r="D98" t="inlineStr">
        <is>
          <t>SKÅNE LÄN</t>
        </is>
      </c>
      <c r="E98" t="inlineStr">
        <is>
          <t>HÖÖR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25934-2022</t>
        </is>
      </c>
      <c r="B99" s="1" t="n">
        <v>44734</v>
      </c>
      <c r="C99" s="1" t="n">
        <v>45904</v>
      </c>
      <c r="D99" t="inlineStr">
        <is>
          <t>SKÅNE LÄN</t>
        </is>
      </c>
      <c r="E99" t="inlineStr">
        <is>
          <t>HÖÖR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18348-2022</t>
        </is>
      </c>
      <c r="B100" s="1" t="n">
        <v>44685.67729166667</v>
      </c>
      <c r="C100" s="1" t="n">
        <v>45904</v>
      </c>
      <c r="D100" t="inlineStr">
        <is>
          <t>SKÅNE LÄN</t>
        </is>
      </c>
      <c r="E100" t="inlineStr">
        <is>
          <t>HÖÖR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12855-2023</t>
        </is>
      </c>
      <c r="B101" s="1" t="n">
        <v>45001</v>
      </c>
      <c r="C101" s="1" t="n">
        <v>45904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25749-2025</t>
        </is>
      </c>
      <c r="B102" s="1" t="n">
        <v>45804.29387731481</v>
      </c>
      <c r="C102" s="1" t="n">
        <v>45904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11379-2024</t>
        </is>
      </c>
      <c r="B103" s="1" t="n">
        <v>45372.43756944445</v>
      </c>
      <c r="C103" s="1" t="n">
        <v>45904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6440-2024</t>
        </is>
      </c>
      <c r="B104" s="1" t="n">
        <v>45338.65138888889</v>
      </c>
      <c r="C104" s="1" t="n">
        <v>45904</v>
      </c>
      <c r="D104" t="inlineStr">
        <is>
          <t>SKÅNE LÄN</t>
        </is>
      </c>
      <c r="E104" t="inlineStr">
        <is>
          <t>HÖÖR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30730-2025</t>
        </is>
      </c>
      <c r="B105" s="1" t="n">
        <v>45831</v>
      </c>
      <c r="C105" s="1" t="n">
        <v>45904</v>
      </c>
      <c r="D105" t="inlineStr">
        <is>
          <t>SKÅNE LÄN</t>
        </is>
      </c>
      <c r="E105" t="inlineStr">
        <is>
          <t>HÖÖR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56596-2022</t>
        </is>
      </c>
      <c r="B106" s="1" t="n">
        <v>44888</v>
      </c>
      <c r="C106" s="1" t="n">
        <v>45904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61377-2024</t>
        </is>
      </c>
      <c r="B107" s="1" t="n">
        <v>45646.39682870371</v>
      </c>
      <c r="C107" s="1" t="n">
        <v>45904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16663-2022</t>
        </is>
      </c>
      <c r="B108" s="1" t="n">
        <v>44672</v>
      </c>
      <c r="C108" s="1" t="n">
        <v>45904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6941-2024</t>
        </is>
      </c>
      <c r="B109" s="1" t="n">
        <v>45343.41258101852</v>
      </c>
      <c r="C109" s="1" t="n">
        <v>45904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6944-2024</t>
        </is>
      </c>
      <c r="B110" s="1" t="n">
        <v>45343.42164351852</v>
      </c>
      <c r="C110" s="1" t="n">
        <v>45904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28189-2024</t>
        </is>
      </c>
      <c r="B111" s="1" t="n">
        <v>45477</v>
      </c>
      <c r="C111" s="1" t="n">
        <v>45904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26592-2025</t>
        </is>
      </c>
      <c r="B112" s="1" t="n">
        <v>45807.8859375</v>
      </c>
      <c r="C112" s="1" t="n">
        <v>45904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2935-2024</t>
        </is>
      </c>
      <c r="B113" s="1" t="n">
        <v>45315</v>
      </c>
      <c r="C113" s="1" t="n">
        <v>45904</v>
      </c>
      <c r="D113" t="inlineStr">
        <is>
          <t>SKÅNE LÄN</t>
        </is>
      </c>
      <c r="E113" t="inlineStr">
        <is>
          <t>HÖÖR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27828-2025</t>
        </is>
      </c>
      <c r="B114" s="1" t="n">
        <v>45817</v>
      </c>
      <c r="C114" s="1" t="n">
        <v>45904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14849-2024</t>
        </is>
      </c>
      <c r="B115" s="1" t="n">
        <v>45398</v>
      </c>
      <c r="C115" s="1" t="n">
        <v>45904</v>
      </c>
      <c r="D115" t="inlineStr">
        <is>
          <t>SKÅNE LÄN</t>
        </is>
      </c>
      <c r="E115" t="inlineStr">
        <is>
          <t>HÖÖR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45904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531-2025</t>
        </is>
      </c>
      <c r="B117" s="1" t="n">
        <v>45664.50216435185</v>
      </c>
      <c r="C117" s="1" t="n">
        <v>45904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13432-2023</t>
        </is>
      </c>
      <c r="B118" s="1" t="n">
        <v>45005.61023148148</v>
      </c>
      <c r="C118" s="1" t="n">
        <v>45904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63139-2023</t>
        </is>
      </c>
      <c r="B119" s="1" t="n">
        <v>45273</v>
      </c>
      <c r="C119" s="1" t="n">
        <v>45904</v>
      </c>
      <c r="D119" t="inlineStr">
        <is>
          <t>SKÅNE LÄN</t>
        </is>
      </c>
      <c r="E119" t="inlineStr">
        <is>
          <t>HÖÖR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16665-2022</t>
        </is>
      </c>
      <c r="B120" s="1" t="n">
        <v>44672</v>
      </c>
      <c r="C120" s="1" t="n">
        <v>45904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44960-2023</t>
        </is>
      </c>
      <c r="B121" s="1" t="n">
        <v>45190</v>
      </c>
      <c r="C121" s="1" t="n">
        <v>45904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4120-2024</t>
        </is>
      </c>
      <c r="B122" s="1" t="n">
        <v>45323.67927083333</v>
      </c>
      <c r="C122" s="1" t="n">
        <v>45904</v>
      </c>
      <c r="D122" t="inlineStr">
        <is>
          <t>SKÅNE LÄN</t>
        </is>
      </c>
      <c r="E122" t="inlineStr">
        <is>
          <t>HÖÖR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39603-2023</t>
        </is>
      </c>
      <c r="B123" s="1" t="n">
        <v>45167.46493055556</v>
      </c>
      <c r="C123" s="1" t="n">
        <v>45904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54753-2022</t>
        </is>
      </c>
      <c r="B124" s="1" t="n">
        <v>44883</v>
      </c>
      <c r="C124" s="1" t="n">
        <v>45904</v>
      </c>
      <c r="D124" t="inlineStr">
        <is>
          <t>SKÅNE LÄN</t>
        </is>
      </c>
      <c r="E124" t="inlineStr">
        <is>
          <t>HÖÖR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45904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5138-2022</t>
        </is>
      </c>
      <c r="B126" s="1" t="n">
        <v>44594</v>
      </c>
      <c r="C126" s="1" t="n">
        <v>45904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5730-2022</t>
        </is>
      </c>
      <c r="B127" s="1" t="n">
        <v>44596</v>
      </c>
      <c r="C127" s="1" t="n">
        <v>45904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13437-2023</t>
        </is>
      </c>
      <c r="B128" s="1" t="n">
        <v>45005</v>
      </c>
      <c r="C128" s="1" t="n">
        <v>45904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14515-2023</t>
        </is>
      </c>
      <c r="B129" s="1" t="n">
        <v>45012</v>
      </c>
      <c r="C129" s="1" t="n">
        <v>45904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26757-2023</t>
        </is>
      </c>
      <c r="B130" s="1" t="n">
        <v>45093</v>
      </c>
      <c r="C130" s="1" t="n">
        <v>45904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53455-2022</t>
        </is>
      </c>
      <c r="B131" s="1" t="n">
        <v>44874</v>
      </c>
      <c r="C131" s="1" t="n">
        <v>45904</v>
      </c>
      <c r="D131" t="inlineStr">
        <is>
          <t>SKÅNE LÄN</t>
        </is>
      </c>
      <c r="E131" t="inlineStr">
        <is>
          <t>HÖÖR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59702-2022</t>
        </is>
      </c>
      <c r="B132" s="1" t="n">
        <v>44908</v>
      </c>
      <c r="C132" s="1" t="n">
        <v>45904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13291-2023</t>
        </is>
      </c>
      <c r="B133" s="1" t="n">
        <v>45004</v>
      </c>
      <c r="C133" s="1" t="n">
        <v>45904</v>
      </c>
      <c r="D133" t="inlineStr">
        <is>
          <t>SKÅNE LÄN</t>
        </is>
      </c>
      <c r="E133" t="inlineStr">
        <is>
          <t>HÖÖR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45904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8478-2025</t>
        </is>
      </c>
      <c r="B135" s="1" t="n">
        <v>45709.48738425926</v>
      </c>
      <c r="C135" s="1" t="n">
        <v>45904</v>
      </c>
      <c r="D135" t="inlineStr">
        <is>
          <t>SKÅNE LÄN</t>
        </is>
      </c>
      <c r="E135" t="inlineStr">
        <is>
          <t>HÖÖR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43877-2022</t>
        </is>
      </c>
      <c r="B136" s="1" t="n">
        <v>44838</v>
      </c>
      <c r="C136" s="1" t="n">
        <v>45904</v>
      </c>
      <c r="D136" t="inlineStr">
        <is>
          <t>SKÅNE LÄN</t>
        </is>
      </c>
      <c r="E136" t="inlineStr">
        <is>
          <t>HÖÖR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43897-2022</t>
        </is>
      </c>
      <c r="B137" s="1" t="n">
        <v>44838</v>
      </c>
      <c r="C137" s="1" t="n">
        <v>45904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16969-2025</t>
        </is>
      </c>
      <c r="B138" s="1" t="n">
        <v>45755.4659837963</v>
      </c>
      <c r="C138" s="1" t="n">
        <v>45904</v>
      </c>
      <c r="D138" t="inlineStr">
        <is>
          <t>SKÅNE LÄN</t>
        </is>
      </c>
      <c r="E138" t="inlineStr">
        <is>
          <t>HÖÖR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27219-2022</t>
        </is>
      </c>
      <c r="B139" s="1" t="n">
        <v>44741</v>
      </c>
      <c r="C139" s="1" t="n">
        <v>45904</v>
      </c>
      <c r="D139" t="inlineStr">
        <is>
          <t>SKÅNE LÄN</t>
        </is>
      </c>
      <c r="E139" t="inlineStr">
        <is>
          <t>HÖÖR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59145-2020</t>
        </is>
      </c>
      <c r="B140" s="1" t="n">
        <v>44147</v>
      </c>
      <c r="C140" s="1" t="n">
        <v>45904</v>
      </c>
      <c r="D140" t="inlineStr">
        <is>
          <t>SKÅNE LÄN</t>
        </is>
      </c>
      <c r="E140" t="inlineStr">
        <is>
          <t>HÖÖR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29285-2025</t>
        </is>
      </c>
      <c r="B141" s="1" t="n">
        <v>45824</v>
      </c>
      <c r="C141" s="1" t="n">
        <v>45904</v>
      </c>
      <c r="D141" t="inlineStr">
        <is>
          <t>SKÅNE LÄN</t>
        </is>
      </c>
      <c r="E141" t="inlineStr">
        <is>
          <t>HÖÖR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63268-2023</t>
        </is>
      </c>
      <c r="B142" s="1" t="n">
        <v>45273.75299768519</v>
      </c>
      <c r="C142" s="1" t="n">
        <v>45904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45904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43884-2022</t>
        </is>
      </c>
      <c r="B144" s="1" t="n">
        <v>44838</v>
      </c>
      <c r="C144" s="1" t="n">
        <v>45904</v>
      </c>
      <c r="D144" t="inlineStr">
        <is>
          <t>SKÅNE LÄN</t>
        </is>
      </c>
      <c r="E144" t="inlineStr">
        <is>
          <t>HÖÖR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12111-2025</t>
        </is>
      </c>
      <c r="B145" s="1" t="n">
        <v>45729.35930555555</v>
      </c>
      <c r="C145" s="1" t="n">
        <v>45904</v>
      </c>
      <c r="D145" t="inlineStr">
        <is>
          <t>SKÅNE LÄN</t>
        </is>
      </c>
      <c r="E145" t="inlineStr">
        <is>
          <t>HÖÖR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45349-2023</t>
        </is>
      </c>
      <c r="B146" s="1" t="n">
        <v>45191</v>
      </c>
      <c r="C146" s="1" t="n">
        <v>45904</v>
      </c>
      <c r="D146" t="inlineStr">
        <is>
          <t>SKÅNE LÄN</t>
        </is>
      </c>
      <c r="E146" t="inlineStr">
        <is>
          <t>HÖÖR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34109-2025</t>
        </is>
      </c>
      <c r="B147" s="1" t="n">
        <v>45845.49778935185</v>
      </c>
      <c r="C147" s="1" t="n">
        <v>45904</v>
      </c>
      <c r="D147" t="inlineStr">
        <is>
          <t>SKÅNE LÄN</t>
        </is>
      </c>
      <c r="E147" t="inlineStr">
        <is>
          <t>HÖÖR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36884-2023</t>
        </is>
      </c>
      <c r="B148" s="1" t="n">
        <v>45154.6050925926</v>
      </c>
      <c r="C148" s="1" t="n">
        <v>45904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16787-2025</t>
        </is>
      </c>
      <c r="B149" s="1" t="n">
        <v>45754.60696759259</v>
      </c>
      <c r="C149" s="1" t="n">
        <v>45904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28830-2025</t>
        </is>
      </c>
      <c r="B150" s="1" t="n">
        <v>45820</v>
      </c>
      <c r="C150" s="1" t="n">
        <v>45904</v>
      </c>
      <c r="D150" t="inlineStr">
        <is>
          <t>SKÅNE LÄN</t>
        </is>
      </c>
      <c r="E150" t="inlineStr">
        <is>
          <t>HÖÖR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50196-2022</t>
        </is>
      </c>
      <c r="B151" s="1" t="n">
        <v>44860</v>
      </c>
      <c r="C151" s="1" t="n">
        <v>45904</v>
      </c>
      <c r="D151" t="inlineStr">
        <is>
          <t>SKÅNE LÄN</t>
        </is>
      </c>
      <c r="E151" t="inlineStr">
        <is>
          <t>HÖÖR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30951-2023</t>
        </is>
      </c>
      <c r="B152" s="1" t="n">
        <v>45113</v>
      </c>
      <c r="C152" s="1" t="n">
        <v>45904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2114-2025</t>
        </is>
      </c>
      <c r="B153" s="1" t="n">
        <v>45672.6284375</v>
      </c>
      <c r="C153" s="1" t="n">
        <v>45904</v>
      </c>
      <c r="D153" t="inlineStr">
        <is>
          <t>SKÅNE LÄN</t>
        </is>
      </c>
      <c r="E153" t="inlineStr">
        <is>
          <t>HÖÖR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40083-2025</t>
        </is>
      </c>
      <c r="B154" s="1" t="n">
        <v>45894.46975694445</v>
      </c>
      <c r="C154" s="1" t="n">
        <v>45904</v>
      </c>
      <c r="D154" t="inlineStr">
        <is>
          <t>SKÅNE LÄN</t>
        </is>
      </c>
      <c r="E154" t="inlineStr">
        <is>
          <t>HÖÖR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40090-2025</t>
        </is>
      </c>
      <c r="B155" s="1" t="n">
        <v>45894.47711805555</v>
      </c>
      <c r="C155" s="1" t="n">
        <v>45904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38813-2025</t>
        </is>
      </c>
      <c r="B156" s="1" t="n">
        <v>45887</v>
      </c>
      <c r="C156" s="1" t="n">
        <v>45904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21066-2023</t>
        </is>
      </c>
      <c r="B157" s="1" t="n">
        <v>45061</v>
      </c>
      <c r="C157" s="1" t="n">
        <v>45904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26590-2025</t>
        </is>
      </c>
      <c r="B158" s="1" t="n">
        <v>45807</v>
      </c>
      <c r="C158" s="1" t="n">
        <v>45904</v>
      </c>
      <c r="D158" t="inlineStr">
        <is>
          <t>SKÅNE LÄN</t>
        </is>
      </c>
      <c r="E158" t="inlineStr">
        <is>
          <t>HÖÖR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50330-2023</t>
        </is>
      </c>
      <c r="B159" s="1" t="n">
        <v>45216</v>
      </c>
      <c r="C159" s="1" t="n">
        <v>45904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50332-2023</t>
        </is>
      </c>
      <c r="B160" s="1" t="n">
        <v>45216.56113425926</v>
      </c>
      <c r="C160" s="1" t="n">
        <v>45904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28352-2024</t>
        </is>
      </c>
      <c r="B161" s="1" t="n">
        <v>45477</v>
      </c>
      <c r="C161" s="1" t="n">
        <v>45904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23005-2024</t>
        </is>
      </c>
      <c r="B162" s="1" t="n">
        <v>45450.32965277778</v>
      </c>
      <c r="C162" s="1" t="n">
        <v>45904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15905-2024</t>
        </is>
      </c>
      <c r="B163" s="1" t="n">
        <v>45405</v>
      </c>
      <c r="C163" s="1" t="n">
        <v>45904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28332-2024</t>
        </is>
      </c>
      <c r="B164" s="1" t="n">
        <v>45477</v>
      </c>
      <c r="C164" s="1" t="n">
        <v>45904</v>
      </c>
      <c r="D164" t="inlineStr">
        <is>
          <t>SKÅNE LÄN</t>
        </is>
      </c>
      <c r="E164" t="inlineStr">
        <is>
          <t>HÖÖR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26591-2025</t>
        </is>
      </c>
      <c r="B165" s="1" t="n">
        <v>45807</v>
      </c>
      <c r="C165" s="1" t="n">
        <v>45904</v>
      </c>
      <c r="D165" t="inlineStr">
        <is>
          <t>SKÅNE LÄN</t>
        </is>
      </c>
      <c r="E165" t="inlineStr">
        <is>
          <t>HÖÖR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41516-2025</t>
        </is>
      </c>
      <c r="B166" s="1" t="n">
        <v>45901.54479166667</v>
      </c>
      <c r="C166" s="1" t="n">
        <v>45904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28335-2024</t>
        </is>
      </c>
      <c r="B167" s="1" t="n">
        <v>45477</v>
      </c>
      <c r="C167" s="1" t="n">
        <v>45904</v>
      </c>
      <c r="D167" t="inlineStr">
        <is>
          <t>SKÅNE LÄN</t>
        </is>
      </c>
      <c r="E167" t="inlineStr">
        <is>
          <t>HÖÖR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34704-2024</t>
        </is>
      </c>
      <c r="B168" s="1" t="n">
        <v>45526</v>
      </c>
      <c r="C168" s="1" t="n">
        <v>45904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16759-2025</t>
        </is>
      </c>
      <c r="B169" s="1" t="n">
        <v>45754.5747337963</v>
      </c>
      <c r="C169" s="1" t="n">
        <v>45904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6760-2024</t>
        </is>
      </c>
      <c r="B170" s="1" t="n">
        <v>45342.47940972223</v>
      </c>
      <c r="C170" s="1" t="n">
        <v>45904</v>
      </c>
      <c r="D170" t="inlineStr">
        <is>
          <t>SKÅNE LÄN</t>
        </is>
      </c>
      <c r="E170" t="inlineStr">
        <is>
          <t>HÖÖR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66043-2020</t>
        </is>
      </c>
      <c r="B171" s="1" t="n">
        <v>44175</v>
      </c>
      <c r="C171" s="1" t="n">
        <v>45904</v>
      </c>
      <c r="D171" t="inlineStr">
        <is>
          <t>SKÅNE LÄN</t>
        </is>
      </c>
      <c r="E171" t="inlineStr">
        <is>
          <t>HÖÖR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6174-2025</t>
        </is>
      </c>
      <c r="B172" s="1" t="n">
        <v>45698</v>
      </c>
      <c r="C172" s="1" t="n">
        <v>45904</v>
      </c>
      <c r="D172" t="inlineStr">
        <is>
          <t>SKÅNE LÄN</t>
        </is>
      </c>
      <c r="E172" t="inlineStr">
        <is>
          <t>HÖÖR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6648-2021</t>
        </is>
      </c>
      <c r="B173" s="1" t="n">
        <v>44235</v>
      </c>
      <c r="C173" s="1" t="n">
        <v>45904</v>
      </c>
      <c r="D173" t="inlineStr">
        <is>
          <t>SKÅNE LÄN</t>
        </is>
      </c>
      <c r="E173" t="inlineStr">
        <is>
          <t>HÖÖR</t>
        </is>
      </c>
      <c r="F173" t="inlineStr">
        <is>
          <t>Övriga statliga verk och myndigheter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12833-2023</t>
        </is>
      </c>
      <c r="B174" s="1" t="n">
        <v>45001</v>
      </c>
      <c r="C174" s="1" t="n">
        <v>45904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3924-2024</t>
        </is>
      </c>
      <c r="B175" s="1" t="n">
        <v>45322.57806712963</v>
      </c>
      <c r="C175" s="1" t="n">
        <v>45904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37082-2024</t>
        </is>
      </c>
      <c r="B176" s="1" t="n">
        <v>45539</v>
      </c>
      <c r="C176" s="1" t="n">
        <v>45904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4247-2025</t>
        </is>
      </c>
      <c r="B177" s="1" t="n">
        <v>45685</v>
      </c>
      <c r="C177" s="1" t="n">
        <v>45904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3407-2024</t>
        </is>
      </c>
      <c r="B178" s="1" t="n">
        <v>45318</v>
      </c>
      <c r="C178" s="1" t="n">
        <v>45904</v>
      </c>
      <c r="D178" t="inlineStr">
        <is>
          <t>SKÅNE LÄN</t>
        </is>
      </c>
      <c r="E178" t="inlineStr">
        <is>
          <t>HÖÖR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6769-2021</t>
        </is>
      </c>
      <c r="B179" s="1" t="n">
        <v>44236</v>
      </c>
      <c r="C179" s="1" t="n">
        <v>45904</v>
      </c>
      <c r="D179" t="inlineStr">
        <is>
          <t>SKÅNE LÄN</t>
        </is>
      </c>
      <c r="E179" t="inlineStr">
        <is>
          <t>HÖÖR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19633-2023</t>
        </is>
      </c>
      <c r="B180" s="1" t="n">
        <v>45051</v>
      </c>
      <c r="C180" s="1" t="n">
        <v>45904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45904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53848-2023</t>
        </is>
      </c>
      <c r="B182" s="1" t="n">
        <v>45231</v>
      </c>
      <c r="C182" s="1" t="n">
        <v>45904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52266-2020</t>
        </is>
      </c>
      <c r="B183" s="1" t="n">
        <v>44117</v>
      </c>
      <c r="C183" s="1" t="n">
        <v>45904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10452-2023</t>
        </is>
      </c>
      <c r="B184" s="1" t="n">
        <v>44981</v>
      </c>
      <c r="C184" s="1" t="n">
        <v>45904</v>
      </c>
      <c r="D184" t="inlineStr">
        <is>
          <t>SKÅNE LÄN</t>
        </is>
      </c>
      <c r="E184" t="inlineStr">
        <is>
          <t>HÖÖR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2950-2024</t>
        </is>
      </c>
      <c r="B185" s="1" t="n">
        <v>45315</v>
      </c>
      <c r="C185" s="1" t="n">
        <v>45904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53956-2023</t>
        </is>
      </c>
      <c r="B186" s="1" t="n">
        <v>45231</v>
      </c>
      <c r="C186" s="1" t="n">
        <v>45904</v>
      </c>
      <c r="D186" t="inlineStr">
        <is>
          <t>SKÅNE LÄN</t>
        </is>
      </c>
      <c r="E186" t="inlineStr">
        <is>
          <t>HÖÖR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4245-2025</t>
        </is>
      </c>
      <c r="B187" s="1" t="n">
        <v>45685</v>
      </c>
      <c r="C187" s="1" t="n">
        <v>45904</v>
      </c>
      <c r="D187" t="inlineStr">
        <is>
          <t>SKÅNE LÄN</t>
        </is>
      </c>
      <c r="E187" t="inlineStr">
        <is>
          <t>HÖÖR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6589-2025</t>
        </is>
      </c>
      <c r="B188" s="1" t="n">
        <v>45700.30015046296</v>
      </c>
      <c r="C188" s="1" t="n">
        <v>45904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20512-2023</t>
        </is>
      </c>
      <c r="B189" s="1" t="n">
        <v>45057</v>
      </c>
      <c r="C189" s="1" t="n">
        <v>45904</v>
      </c>
      <c r="D189" t="inlineStr">
        <is>
          <t>SKÅNE LÄN</t>
        </is>
      </c>
      <c r="E189" t="inlineStr">
        <is>
          <t>HÖÖR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61011-2023</t>
        </is>
      </c>
      <c r="B190" s="1" t="n">
        <v>45261</v>
      </c>
      <c r="C190" s="1" t="n">
        <v>45904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43996-2022</t>
        </is>
      </c>
      <c r="B191" s="1" t="n">
        <v>44838</v>
      </c>
      <c r="C191" s="1" t="n">
        <v>45904</v>
      </c>
      <c r="D191" t="inlineStr">
        <is>
          <t>SKÅNE LÄN</t>
        </is>
      </c>
      <c r="E191" t="inlineStr">
        <is>
          <t>HÖÖR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47222-2022</t>
        </is>
      </c>
      <c r="B192" s="1" t="n">
        <v>44852</v>
      </c>
      <c r="C192" s="1" t="n">
        <v>45904</v>
      </c>
      <c r="D192" t="inlineStr">
        <is>
          <t>SKÅNE LÄN</t>
        </is>
      </c>
      <c r="E192" t="inlineStr">
        <is>
          <t>HÖÖR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4928-2022</t>
        </is>
      </c>
      <c r="B193" s="1" t="n">
        <v>44593.47482638889</v>
      </c>
      <c r="C193" s="1" t="n">
        <v>45904</v>
      </c>
      <c r="D193" t="inlineStr">
        <is>
          <t>SKÅNE LÄN</t>
        </is>
      </c>
      <c r="E193" t="inlineStr">
        <is>
          <t>HÖÖR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19380-2021</t>
        </is>
      </c>
      <c r="B194" s="1" t="n">
        <v>44309</v>
      </c>
      <c r="C194" s="1" t="n">
        <v>45904</v>
      </c>
      <c r="D194" t="inlineStr">
        <is>
          <t>SKÅNE LÄN</t>
        </is>
      </c>
      <c r="E194" t="inlineStr">
        <is>
          <t>HÖÖR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14514-2023</t>
        </is>
      </c>
      <c r="B195" s="1" t="n">
        <v>45012</v>
      </c>
      <c r="C195" s="1" t="n">
        <v>45904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54711-2024</t>
        </is>
      </c>
      <c r="B196" s="1" t="n">
        <v>45618</v>
      </c>
      <c r="C196" s="1" t="n">
        <v>45904</v>
      </c>
      <c r="D196" t="inlineStr">
        <is>
          <t>SKÅNE LÄN</t>
        </is>
      </c>
      <c r="E196" t="inlineStr">
        <is>
          <t>HÖÖR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42692-2022</t>
        </is>
      </c>
      <c r="B197" s="1" t="n">
        <v>44832</v>
      </c>
      <c r="C197" s="1" t="n">
        <v>45904</v>
      </c>
      <c r="D197" t="inlineStr">
        <is>
          <t>SKÅNE LÄN</t>
        </is>
      </c>
      <c r="E197" t="inlineStr">
        <is>
          <t>HÖÖR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18246-2023</t>
        </is>
      </c>
      <c r="B198" s="1" t="n">
        <v>45041</v>
      </c>
      <c r="C198" s="1" t="n">
        <v>45904</v>
      </c>
      <c r="D198" t="inlineStr">
        <is>
          <t>SKÅNE LÄN</t>
        </is>
      </c>
      <c r="E198" t="inlineStr">
        <is>
          <t>HÖÖR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4501-2024</t>
        </is>
      </c>
      <c r="B199" s="1" t="n">
        <v>45327.61340277778</v>
      </c>
      <c r="C199" s="1" t="n">
        <v>45904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45092-2024</t>
        </is>
      </c>
      <c r="B200" s="1" t="n">
        <v>45575.5844212963</v>
      </c>
      <c r="C200" s="1" t="n">
        <v>45904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530-2025</t>
        </is>
      </c>
      <c r="B201" s="1" t="n">
        <v>45664.50134259259</v>
      </c>
      <c r="C201" s="1" t="n">
        <v>45904</v>
      </c>
      <c r="D201" t="inlineStr">
        <is>
          <t>SKÅNE LÄN</t>
        </is>
      </c>
      <c r="E201" t="inlineStr">
        <is>
          <t>HÖÖR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56231-2022</t>
        </is>
      </c>
      <c r="B202" s="1" t="n">
        <v>44890</v>
      </c>
      <c r="C202" s="1" t="n">
        <v>45904</v>
      </c>
      <c r="D202" t="inlineStr">
        <is>
          <t>SKÅNE LÄN</t>
        </is>
      </c>
      <c r="E202" t="inlineStr">
        <is>
          <t>HÖÖR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57428-2023</t>
        </is>
      </c>
      <c r="B203" s="1" t="n">
        <v>45240</v>
      </c>
      <c r="C203" s="1" t="n">
        <v>45904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45904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70984-2021</t>
        </is>
      </c>
      <c r="B205" s="1" t="n">
        <v>44538</v>
      </c>
      <c r="C205" s="1" t="n">
        <v>45904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40595-2021</t>
        </is>
      </c>
      <c r="B206" s="1" t="n">
        <v>44420.47767361111</v>
      </c>
      <c r="C206" s="1" t="n">
        <v>45904</v>
      </c>
      <c r="D206" t="inlineStr">
        <is>
          <t>SKÅNE LÄN</t>
        </is>
      </c>
      <c r="E206" t="inlineStr">
        <is>
          <t>HÖÖR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61007-2024</t>
        </is>
      </c>
      <c r="B207" s="1" t="n">
        <v>45645.44342592593</v>
      </c>
      <c r="C207" s="1" t="n">
        <v>45904</v>
      </c>
      <c r="D207" t="inlineStr">
        <is>
          <t>SKÅNE LÄN</t>
        </is>
      </c>
      <c r="E207" t="inlineStr">
        <is>
          <t>HÖÖR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7782-2022</t>
        </is>
      </c>
      <c r="B208" s="1" t="n">
        <v>44608</v>
      </c>
      <c r="C208" s="1" t="n">
        <v>45904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66505-2020</t>
        </is>
      </c>
      <c r="B209" s="1" t="n">
        <v>44178</v>
      </c>
      <c r="C209" s="1" t="n">
        <v>45904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44739-2024</t>
        </is>
      </c>
      <c r="B210" s="1" t="n">
        <v>45574.59447916667</v>
      </c>
      <c r="C210" s="1" t="n">
        <v>45904</v>
      </c>
      <c r="D210" t="inlineStr">
        <is>
          <t>SKÅNE LÄN</t>
        </is>
      </c>
      <c r="E210" t="inlineStr">
        <is>
          <t>HÖÖR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12025-2025</t>
        </is>
      </c>
      <c r="B211" s="1" t="n">
        <v>45728.63755787037</v>
      </c>
      <c r="C211" s="1" t="n">
        <v>45904</v>
      </c>
      <c r="D211" t="inlineStr">
        <is>
          <t>SKÅNE LÄN</t>
        </is>
      </c>
      <c r="E211" t="inlineStr">
        <is>
          <t>HÖÖR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1475-2022</t>
        </is>
      </c>
      <c r="B212" s="1" t="n">
        <v>44573.50236111111</v>
      </c>
      <c r="C212" s="1" t="n">
        <v>45904</v>
      </c>
      <c r="D212" t="inlineStr">
        <is>
          <t>SKÅNE LÄN</t>
        </is>
      </c>
      <c r="E212" t="inlineStr">
        <is>
          <t>HÖÖR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41623-2023</t>
        </is>
      </c>
      <c r="B213" s="1" t="n">
        <v>45175.68952546296</v>
      </c>
      <c r="C213" s="1" t="n">
        <v>45904</v>
      </c>
      <c r="D213" t="inlineStr">
        <is>
          <t>SKÅNE LÄN</t>
        </is>
      </c>
      <c r="E213" t="inlineStr">
        <is>
          <t>HÖÖR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37074-2024</t>
        </is>
      </c>
      <c r="B214" s="1" t="n">
        <v>45539</v>
      </c>
      <c r="C214" s="1" t="n">
        <v>45904</v>
      </c>
      <c r="D214" t="inlineStr">
        <is>
          <t>SKÅNE LÄN</t>
        </is>
      </c>
      <c r="E214" t="inlineStr">
        <is>
          <t>HÖÖR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51301-2024</t>
        </is>
      </c>
      <c r="B215" s="1" t="n">
        <v>45604.28789351852</v>
      </c>
      <c r="C215" s="1" t="n">
        <v>45904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3940-2024</t>
        </is>
      </c>
      <c r="B216" s="1" t="n">
        <v>45322</v>
      </c>
      <c r="C216" s="1" t="n">
        <v>45904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2025-09-04T17:40:32Z</dcterms:created>
  <dcterms:modified xmlns:dcterms="http://purl.org/dc/terms/" xmlns:xsi="http://www.w3.org/2001/XMLSchema-instance" xsi:type="dcterms:W3CDTF">2025-09-04T17:40:32Z</dcterms:modified>
</cp:coreProperties>
</file>