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46201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46201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46201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46201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46201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42692-2022</t>
        </is>
      </c>
      <c r="B7" s="1" t="n">
        <v>44832</v>
      </c>
      <c r="C7" s="1" t="n">
        <v>46201</v>
      </c>
      <c r="D7" t="inlineStr">
        <is>
          <t>SKÅNE LÄN</t>
        </is>
      </c>
      <c r="E7" t="inlineStr">
        <is>
          <t>HÖÖR</t>
        </is>
      </c>
      <c r="G7" t="n">
        <v>5.8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Brunfläckig pärlemorfjäril
Loppstarr
Ängsstarr
Bandpraktmossa
Sankt pers nycklar</t>
        </is>
      </c>
      <c r="S7">
        <f>HYPERLINK("https://klasma.github.io/Logging_1267/artfynd/A 42692-2022 artfynd.xlsx", "A 42692-2022")</f>
        <v/>
      </c>
      <c r="T7">
        <f>HYPERLINK("https://klasma.github.io/Logging_1267/kartor/A 42692-2022 karta.png", "A 42692-2022")</f>
        <v/>
      </c>
      <c r="V7">
        <f>HYPERLINK("https://klasma.github.io/Logging_1267/klagomål/A 42692-2022 FSC-klagomål.docx", "A 42692-2022")</f>
        <v/>
      </c>
      <c r="W7">
        <f>HYPERLINK("https://klasma.github.io/Logging_1267/klagomålsmail/A 42692-2022 FSC-klagomål mail.docx", "A 42692-2022")</f>
        <v/>
      </c>
      <c r="X7">
        <f>HYPERLINK("https://klasma.github.io/Logging_1267/tillsyn/A 42692-2022 tillsynsbegäran.docx", "A 42692-2022")</f>
        <v/>
      </c>
      <c r="Y7">
        <f>HYPERLINK("https://klasma.github.io/Logging_1267/tillsynsmail/A 42692-2022 tillsynsbegäran mail.docx", "A 42692-2022")</f>
        <v/>
      </c>
    </row>
    <row r="8" ht="15" customHeight="1">
      <c r="A8" t="inlineStr">
        <is>
          <t>A 24278-2023</t>
        </is>
      </c>
      <c r="B8" s="1" t="n">
        <v>45079</v>
      </c>
      <c r="C8" s="1" t="n">
        <v>46201</v>
      </c>
      <c r="D8" t="inlineStr">
        <is>
          <t>SKÅNE LÄN</t>
        </is>
      </c>
      <c r="E8" t="inlineStr">
        <is>
          <t>HÖÖR</t>
        </is>
      </c>
      <c r="G8" t="n">
        <v>0.8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Björktrast
Rödvingetrast
Spillkråka
Sångsvan
Trana</t>
        </is>
      </c>
      <c r="S8">
        <f>HYPERLINK("https://klasma.github.io/Logging_1267/artfynd/A 24278-2023 artfynd.xlsx", "A 24278-2023")</f>
        <v/>
      </c>
      <c r="T8">
        <f>HYPERLINK("https://klasma.github.io/Logging_1267/kartor/A 24278-2023 karta.png", "A 24278-2023")</f>
        <v/>
      </c>
      <c r="V8">
        <f>HYPERLINK("https://klasma.github.io/Logging_1267/klagomål/A 24278-2023 FSC-klagomål.docx", "A 24278-2023")</f>
        <v/>
      </c>
      <c r="W8">
        <f>HYPERLINK("https://klasma.github.io/Logging_1267/klagomålsmail/A 24278-2023 FSC-klagomål mail.docx", "A 24278-2023")</f>
        <v/>
      </c>
      <c r="X8">
        <f>HYPERLINK("https://klasma.github.io/Logging_1267/tillsyn/A 24278-2023 tillsynsbegäran.docx", "A 24278-2023")</f>
        <v/>
      </c>
      <c r="Y8">
        <f>HYPERLINK("https://klasma.github.io/Logging_1267/tillsynsmail/A 24278-2023 tillsynsbegäran mail.docx", "A 24278-2023")</f>
        <v/>
      </c>
      <c r="Z8">
        <f>HYPERLINK("https://klasma.github.io/Logging_1267/fåglar/A 24278-2023 prioriterade fågelarter.docx", "A 24278-2023")</f>
        <v/>
      </c>
    </row>
    <row r="9" ht="15" customHeight="1">
      <c r="A9" t="inlineStr">
        <is>
          <t>A 8315-2026</t>
        </is>
      </c>
      <c r="B9" s="1" t="n">
        <v>46064</v>
      </c>
      <c r="C9" s="1" t="n">
        <v>46201</v>
      </c>
      <c r="D9" t="inlineStr">
        <is>
          <t>SKÅNE LÄN</t>
        </is>
      </c>
      <c r="E9" t="inlineStr">
        <is>
          <t>HÖÖR</t>
        </is>
      </c>
      <c r="G9" t="n">
        <v>4.7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Grönsångare
Småjungfrukam
Spillkråka
Kungsfågel
Skogsduva</t>
        </is>
      </c>
      <c r="S9">
        <f>HYPERLINK("https://klasma.github.io/Logging_1267/artfynd/A 8315-2026 artfynd.xlsx", "A 8315-2026")</f>
        <v/>
      </c>
      <c r="T9">
        <f>HYPERLINK("https://klasma.github.io/Logging_1267/kartor/A 8315-2026 karta.png", "A 8315-2026")</f>
        <v/>
      </c>
      <c r="V9">
        <f>HYPERLINK("https://klasma.github.io/Logging_1267/klagomål/A 8315-2026 FSC-klagomål.docx", "A 8315-2026")</f>
        <v/>
      </c>
      <c r="W9">
        <f>HYPERLINK("https://klasma.github.io/Logging_1267/klagomålsmail/A 8315-2026 FSC-klagomål mail.docx", "A 8315-2026")</f>
        <v/>
      </c>
      <c r="X9">
        <f>HYPERLINK("https://klasma.github.io/Logging_1267/tillsyn/A 8315-2026 tillsynsbegäran.docx", "A 8315-2026")</f>
        <v/>
      </c>
      <c r="Y9">
        <f>HYPERLINK("https://klasma.github.io/Logging_1267/tillsynsmail/A 8315-2026 tillsynsbegäran mail.docx", "A 8315-2026")</f>
        <v/>
      </c>
      <c r="Z9">
        <f>HYPERLINK("https://klasma.github.io/Logging_1267/fåglar/A 8315-2026 prioriterade fågelarter.docx", "A 8315-2026")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46201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7616-2024</t>
        </is>
      </c>
      <c r="B11" s="1" t="n">
        <v>45348</v>
      </c>
      <c r="C11" s="1" t="n">
        <v>46201</v>
      </c>
      <c r="D11" t="inlineStr">
        <is>
          <t>SKÅNE LÄN</t>
        </is>
      </c>
      <c r="E11" t="inlineStr">
        <is>
          <t>HÖÖR</t>
        </is>
      </c>
      <c r="G11" t="n">
        <v>4.2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Kösa
Åkerkulla
Skogsödla</t>
        </is>
      </c>
      <c r="S11">
        <f>HYPERLINK("https://klasma.github.io/Logging_1267/artfynd/A 7616-2024 artfynd.xlsx", "A 7616-2024")</f>
        <v/>
      </c>
      <c r="T11">
        <f>HYPERLINK("https://klasma.github.io/Logging_1267/kartor/A 7616-2024 karta.png", "A 7616-2024")</f>
        <v/>
      </c>
      <c r="V11">
        <f>HYPERLINK("https://klasma.github.io/Logging_1267/klagomål/A 7616-2024 FSC-klagomål.docx", "A 7616-2024")</f>
        <v/>
      </c>
      <c r="W11">
        <f>HYPERLINK("https://klasma.github.io/Logging_1267/klagomålsmail/A 7616-2024 FSC-klagomål mail.docx", "A 7616-2024")</f>
        <v/>
      </c>
      <c r="X11">
        <f>HYPERLINK("https://klasma.github.io/Logging_1267/tillsyn/A 7616-2024 tillsynsbegäran.docx", "A 7616-2024")</f>
        <v/>
      </c>
      <c r="Y11">
        <f>HYPERLINK("https://klasma.github.io/Logging_1267/tillsynsmail/A 7616-2024 tillsynsbegäran mail.docx", "A 7616-2024")</f>
        <v/>
      </c>
    </row>
    <row r="12" ht="15" customHeight="1">
      <c r="A12" t="inlineStr">
        <is>
          <t>A 12111-2025</t>
        </is>
      </c>
      <c r="B12" s="1" t="n">
        <v>45729</v>
      </c>
      <c r="C12" s="1" t="n">
        <v>46201</v>
      </c>
      <c r="D12" t="inlineStr">
        <is>
          <t>SKÅNE LÄN</t>
        </is>
      </c>
      <c r="E12" t="inlineStr">
        <is>
          <t>HÖÖR</t>
        </is>
      </c>
      <c r="G12" t="n">
        <v>3.7</v>
      </c>
      <c r="H12" t="n">
        <v>3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Tofsvipa
Tornseglare
Gröngöling</t>
        </is>
      </c>
      <c r="S12">
        <f>HYPERLINK("https://klasma.github.io/Logging_1267/artfynd/A 12111-2025 artfynd.xlsx", "A 12111-2025")</f>
        <v/>
      </c>
      <c r="T12">
        <f>HYPERLINK("https://klasma.github.io/Logging_1267/kartor/A 12111-2025 karta.png", "A 12111-2025")</f>
        <v/>
      </c>
      <c r="V12">
        <f>HYPERLINK("https://klasma.github.io/Logging_1267/klagomål/A 12111-2025 FSC-klagomål.docx", "A 12111-2025")</f>
        <v/>
      </c>
      <c r="W12">
        <f>HYPERLINK("https://klasma.github.io/Logging_1267/klagomålsmail/A 12111-2025 FSC-klagomål mail.docx", "A 12111-2025")</f>
        <v/>
      </c>
      <c r="X12">
        <f>HYPERLINK("https://klasma.github.io/Logging_1267/tillsyn/A 12111-2025 tillsynsbegäran.docx", "A 12111-2025")</f>
        <v/>
      </c>
      <c r="Y12">
        <f>HYPERLINK("https://klasma.github.io/Logging_1267/tillsynsmail/A 12111-2025 tillsynsbegäran mail.docx", "A 12111-2025")</f>
        <v/>
      </c>
      <c r="Z12">
        <f>HYPERLINK("https://klasma.github.io/Logging_1267/fåglar/A 12111-2025 prioriterade fågelarter.docx", "A 12111-2025")</f>
        <v/>
      </c>
    </row>
    <row r="13" ht="15" customHeight="1">
      <c r="A13" t="inlineStr">
        <is>
          <t>A 30645-2022</t>
        </is>
      </c>
      <c r="B13" s="1" t="n">
        <v>44763</v>
      </c>
      <c r="C13" s="1" t="n">
        <v>46201</v>
      </c>
      <c r="D13" t="inlineStr">
        <is>
          <t>SKÅNE LÄN</t>
        </is>
      </c>
      <c r="E13" t="inlineStr">
        <is>
          <t>HÖÖR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Murgröna
Nattviol</t>
        </is>
      </c>
      <c r="S13">
        <f>HYPERLINK("https://klasma.github.io/Logging_1267/artfynd/A 30645-2022 artfynd.xlsx", "A 30645-2022")</f>
        <v/>
      </c>
      <c r="T13">
        <f>HYPERLINK("https://klasma.github.io/Logging_1267/kartor/A 30645-2022 karta.png", "A 30645-2022")</f>
        <v/>
      </c>
      <c r="V13">
        <f>HYPERLINK("https://klasma.github.io/Logging_1267/klagomål/A 30645-2022 FSC-klagomål.docx", "A 30645-2022")</f>
        <v/>
      </c>
      <c r="W13">
        <f>HYPERLINK("https://klasma.github.io/Logging_1267/klagomålsmail/A 30645-2022 FSC-klagomål mail.docx", "A 30645-2022")</f>
        <v/>
      </c>
      <c r="X13">
        <f>HYPERLINK("https://klasma.github.io/Logging_1267/tillsyn/A 30645-2022 tillsynsbegäran.docx", "A 30645-2022")</f>
        <v/>
      </c>
      <c r="Y13">
        <f>HYPERLINK("https://klasma.github.io/Logging_1267/tillsynsmail/A 30645-2022 tillsynsbegäran mail.docx", "A 30645-2022")</f>
        <v/>
      </c>
    </row>
    <row r="14" ht="15" customHeight="1">
      <c r="A14" t="inlineStr">
        <is>
          <t>A 20987-2024</t>
        </is>
      </c>
      <c r="B14" s="1" t="n">
        <v>45439</v>
      </c>
      <c r="C14" s="1" t="n">
        <v>46201</v>
      </c>
      <c r="D14" t="inlineStr">
        <is>
          <t>SKÅNE LÄN</t>
        </is>
      </c>
      <c r="E14" t="inlineStr">
        <is>
          <t>HÖÖR</t>
        </is>
      </c>
      <c r="G14" t="n">
        <v>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Rödvingetrast
Västlig hakmossa
Spillkråka</t>
        </is>
      </c>
      <c r="S14">
        <f>HYPERLINK("https://klasma.github.io/Logging_1267/artfynd/A 20987-2024 artfynd.xlsx", "A 20987-2024")</f>
        <v/>
      </c>
      <c r="T14">
        <f>HYPERLINK("https://klasma.github.io/Logging_1267/kartor/A 20987-2024 karta.png", "A 20987-2024")</f>
        <v/>
      </c>
      <c r="V14">
        <f>HYPERLINK("https://klasma.github.io/Logging_1267/klagomål/A 20987-2024 FSC-klagomål.docx", "A 20987-2024")</f>
        <v/>
      </c>
      <c r="W14">
        <f>HYPERLINK("https://klasma.github.io/Logging_1267/klagomålsmail/A 20987-2024 FSC-klagomål mail.docx", "A 20987-2024")</f>
        <v/>
      </c>
      <c r="X14">
        <f>HYPERLINK("https://klasma.github.io/Logging_1267/tillsyn/A 20987-2024 tillsynsbegäran.docx", "A 20987-2024")</f>
        <v/>
      </c>
      <c r="Y14">
        <f>HYPERLINK("https://klasma.github.io/Logging_1267/tillsynsmail/A 20987-2024 tillsynsbegäran mail.docx", "A 20987-2024")</f>
        <v/>
      </c>
      <c r="Z14">
        <f>HYPERLINK("https://klasma.github.io/Logging_1267/fåglar/A 20987-2024 prioriterade fågelarter.docx", "A 20987-2024")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46201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46201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Skogsbräsma
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45241-2025</t>
        </is>
      </c>
      <c r="B17" s="1" t="n">
        <v>45919</v>
      </c>
      <c r="C17" s="1" t="n">
        <v>46201</v>
      </c>
      <c r="D17" t="inlineStr">
        <is>
          <t>SKÅNE LÄN</t>
        </is>
      </c>
      <c r="E17" t="inlineStr">
        <is>
          <t>HÖÖR</t>
        </is>
      </c>
      <c r="G17" t="n">
        <v>9.699999999999999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Flodpärlmussla
Örlav</t>
        </is>
      </c>
      <c r="S17">
        <f>HYPERLINK("https://klasma.github.io/Logging_1267/artfynd/A 45241-2025 artfynd.xlsx", "A 45241-2025")</f>
        <v/>
      </c>
      <c r="T17">
        <f>HYPERLINK("https://klasma.github.io/Logging_1267/kartor/A 45241-2025 karta.png", "A 45241-2025")</f>
        <v/>
      </c>
      <c r="V17">
        <f>HYPERLINK("https://klasma.github.io/Logging_1267/klagomål/A 45241-2025 FSC-klagomål.docx", "A 45241-2025")</f>
        <v/>
      </c>
      <c r="W17">
        <f>HYPERLINK("https://klasma.github.io/Logging_1267/klagomålsmail/A 45241-2025 FSC-klagomål mail.docx", "A 45241-2025")</f>
        <v/>
      </c>
      <c r="X17">
        <f>HYPERLINK("https://klasma.github.io/Logging_1267/tillsyn/A 45241-2025 tillsynsbegäran.docx", "A 45241-2025")</f>
        <v/>
      </c>
      <c r="Y17">
        <f>HYPERLINK("https://klasma.github.io/Logging_1267/tillsynsmail/A 45241-2025 tillsynsbegäran mail.docx", "A 45241-2025")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46201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Violettkantad guldvinge
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8329-2026</t>
        </is>
      </c>
      <c r="B19" s="1" t="n">
        <v>46064</v>
      </c>
      <c r="C19" s="1" t="n">
        <v>46201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HYPERLINK("https://klasma.github.io/Logging_1267/artfynd/A 8329-2026 artfynd.xlsx", "A 8329-2026")</f>
        <v/>
      </c>
      <c r="T19">
        <f>HYPERLINK("https://klasma.github.io/Logging_1267/kartor/A 8329-2026 karta.png", "A 8329-2026")</f>
        <v/>
      </c>
      <c r="V19">
        <f>HYPERLINK("https://klasma.github.io/Logging_1267/klagomål/A 8329-2026 FSC-klagomål.docx", "A 8329-2026")</f>
        <v/>
      </c>
      <c r="W19">
        <f>HYPERLINK("https://klasma.github.io/Logging_1267/klagomålsmail/A 8329-2026 FSC-klagomål mail.docx", "A 8329-2026")</f>
        <v/>
      </c>
      <c r="X19">
        <f>HYPERLINK("https://klasma.github.io/Logging_1267/tillsyn/A 8329-2026 tillsynsbegäran.docx", "A 8329-2026")</f>
        <v/>
      </c>
      <c r="Y19">
        <f>HYPERLINK("https://klasma.github.io/Logging_1267/tillsynsmail/A 8329-2026 tillsynsbegäran mail.docx", "A 8329-2026")</f>
        <v/>
      </c>
      <c r="Z19">
        <f>HYPERLINK("https://klasma.github.io/Logging_1267/fåglar/A 8329-2026 prioriterade fågelarter.docx", "A 8329-2026")</f>
        <v/>
      </c>
    </row>
    <row r="20" ht="15" customHeight="1">
      <c r="A20" t="inlineStr">
        <is>
          <t>A 24597-2026</t>
        </is>
      </c>
      <c r="B20" s="1" t="n">
        <v>46170</v>
      </c>
      <c r="C20" s="1" t="n">
        <v>46201</v>
      </c>
      <c r="D20" t="inlineStr">
        <is>
          <t>SKÅNE LÄN</t>
        </is>
      </c>
      <c r="E20" t="inlineStr">
        <is>
          <t>HÖÖR</t>
        </is>
      </c>
      <c r="G20" t="n">
        <v>5.9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Grönsångare</t>
        </is>
      </c>
      <c r="S20">
        <f>HYPERLINK("https://klasma.github.io/Logging_1267/artfynd/A 24597-2026 artfynd.xlsx", "A 24597-2026")</f>
        <v/>
      </c>
      <c r="T20">
        <f>HYPERLINK("https://klasma.github.io/Logging_1267/kartor/A 24597-2026 karta.png", "A 24597-2026")</f>
        <v/>
      </c>
      <c r="V20">
        <f>HYPERLINK("https://klasma.github.io/Logging_1267/klagomål/A 24597-2026 FSC-klagomål.docx", "A 24597-2026")</f>
        <v/>
      </c>
      <c r="W20">
        <f>HYPERLINK("https://klasma.github.io/Logging_1267/klagomålsmail/A 24597-2026 FSC-klagomål mail.docx", "A 24597-2026")</f>
        <v/>
      </c>
      <c r="X20">
        <f>HYPERLINK("https://klasma.github.io/Logging_1267/tillsyn/A 24597-2026 tillsynsbegäran.docx", "A 24597-2026")</f>
        <v/>
      </c>
      <c r="Y20">
        <f>HYPERLINK("https://klasma.github.io/Logging_1267/tillsynsmail/A 24597-2026 tillsynsbegäran mail.docx", "A 24597-2026")</f>
        <v/>
      </c>
      <c r="Z20">
        <f>HYPERLINK("https://klasma.github.io/Logging_1267/fåglar/A 24597-2026 prioriterade fågelarter.docx", "A 24597-2026")</f>
        <v/>
      </c>
    </row>
    <row r="21" ht="15" customHeight="1">
      <c r="A21" t="inlineStr">
        <is>
          <t>A 44327-2021</t>
        </is>
      </c>
      <c r="B21" s="1" t="n">
        <v>44434</v>
      </c>
      <c r="C21" s="1" t="n">
        <v>46201</v>
      </c>
      <c r="D21" t="inlineStr">
        <is>
          <t>SKÅNE LÄN</t>
        </is>
      </c>
      <c r="E21" t="inlineStr">
        <is>
          <t>HÖÖR</t>
        </is>
      </c>
      <c r="G21" t="n">
        <v>12.1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Årta</t>
        </is>
      </c>
      <c r="S21">
        <f>HYPERLINK("https://klasma.github.io/Logging_1267/artfynd/A 44327-2021 artfynd.xlsx", "A 44327-2021")</f>
        <v/>
      </c>
      <c r="T21">
        <f>HYPERLINK("https://klasma.github.io/Logging_1267/kartor/A 44327-2021 karta.png", "A 44327-2021")</f>
        <v/>
      </c>
      <c r="V21">
        <f>HYPERLINK("https://klasma.github.io/Logging_1267/klagomål/A 44327-2021 FSC-klagomål.docx", "A 44327-2021")</f>
        <v/>
      </c>
      <c r="W21">
        <f>HYPERLINK("https://klasma.github.io/Logging_1267/klagomålsmail/A 44327-2021 FSC-klagomål mail.docx", "A 44327-2021")</f>
        <v/>
      </c>
      <c r="X21">
        <f>HYPERLINK("https://klasma.github.io/Logging_1267/tillsyn/A 44327-2021 tillsynsbegäran.docx", "A 44327-2021")</f>
        <v/>
      </c>
      <c r="Y21">
        <f>HYPERLINK("https://klasma.github.io/Logging_1267/tillsynsmail/A 44327-2021 tillsynsbegäran mail.docx", "A 44327-2021")</f>
        <v/>
      </c>
    </row>
    <row r="22" ht="15" customHeight="1">
      <c r="A22" t="inlineStr">
        <is>
          <t>A 37286-2021</t>
        </is>
      </c>
      <c r="B22" s="1" t="n">
        <v>44390</v>
      </c>
      <c r="C22" s="1" t="n">
        <v>46201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37286-2021 artfynd.xlsx", "A 37286-2021")</f>
        <v/>
      </c>
      <c r="T22">
        <f>HYPERLINK("https://klasma.github.io/Logging_1267/kartor/A 37286-2021 karta.png", "A 37286-2021")</f>
        <v/>
      </c>
      <c r="V22">
        <f>HYPERLINK("https://klasma.github.io/Logging_1267/klagomål/A 37286-2021 FSC-klagomål.docx", "A 37286-2021")</f>
        <v/>
      </c>
      <c r="W22">
        <f>HYPERLINK("https://klasma.github.io/Logging_1267/klagomålsmail/A 37286-2021 FSC-klagomål mail.docx", "A 37286-2021")</f>
        <v/>
      </c>
      <c r="X22">
        <f>HYPERLINK("https://klasma.github.io/Logging_1267/tillsyn/A 37286-2021 tillsynsbegäran.docx", "A 37286-2021")</f>
        <v/>
      </c>
      <c r="Y22">
        <f>HYPERLINK("https://klasma.github.io/Logging_1267/tillsynsmail/A 37286-2021 tillsynsbegäran mail.docx", "A 37286-2021")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46201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46919-2021</t>
        </is>
      </c>
      <c r="B24" s="1" t="n">
        <v>44446</v>
      </c>
      <c r="C24" s="1" t="n">
        <v>46201</v>
      </c>
      <c r="D24" t="inlineStr">
        <is>
          <t>SKÅNE LÄN</t>
        </is>
      </c>
      <c r="E24" t="inlineStr">
        <is>
          <t>HÖÖR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HYPERLINK("https://klasma.github.io/Logging_1267/artfynd/A 46919-2021 artfynd.xlsx", "A 46919-2021")</f>
        <v/>
      </c>
      <c r="T24">
        <f>HYPERLINK("https://klasma.github.io/Logging_1267/kartor/A 46919-2021 karta.png", "A 46919-2021")</f>
        <v/>
      </c>
      <c r="V24">
        <f>HYPERLINK("https://klasma.github.io/Logging_1267/klagomål/A 46919-2021 FSC-klagomål.docx", "A 46919-2021")</f>
        <v/>
      </c>
      <c r="W24">
        <f>HYPERLINK("https://klasma.github.io/Logging_1267/klagomålsmail/A 46919-2021 FSC-klagomål mail.docx", "A 46919-2021")</f>
        <v/>
      </c>
      <c r="X24">
        <f>HYPERLINK("https://klasma.github.io/Logging_1267/tillsyn/A 46919-2021 tillsynsbegäran.docx", "A 46919-2021")</f>
        <v/>
      </c>
      <c r="Y24">
        <f>HYPERLINK("https://klasma.github.io/Logging_1267/tillsynsmail/A 46919-2021 tillsynsbegäran mail.docx", "A 46919-2021")</f>
        <v/>
      </c>
    </row>
    <row r="25" ht="15" customHeight="1">
      <c r="A25" t="inlineStr">
        <is>
          <t>A 27233-2022</t>
        </is>
      </c>
      <c r="B25" s="1" t="n">
        <v>44741</v>
      </c>
      <c r="C25" s="1" t="n">
        <v>46201</v>
      </c>
      <c r="D25" t="inlineStr">
        <is>
          <t>SKÅNE LÄN</t>
        </is>
      </c>
      <c r="E25" t="inlineStr">
        <is>
          <t>HÖÖR</t>
        </is>
      </c>
      <c r="G25" t="n">
        <v>5.4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HYPERLINK("https://klasma.github.io/Logging_1267/artfynd/A 27233-2022 artfynd.xlsx", "A 27233-2022")</f>
        <v/>
      </c>
      <c r="T25">
        <f>HYPERLINK("https://klasma.github.io/Logging_1267/kartor/A 27233-2022 karta.png", "A 27233-2022")</f>
        <v/>
      </c>
      <c r="V25">
        <f>HYPERLINK("https://klasma.github.io/Logging_1267/klagomål/A 27233-2022 FSC-klagomål.docx", "A 27233-2022")</f>
        <v/>
      </c>
      <c r="W25">
        <f>HYPERLINK("https://klasma.github.io/Logging_1267/klagomålsmail/A 27233-2022 FSC-klagomål mail.docx", "A 27233-2022")</f>
        <v/>
      </c>
      <c r="X25">
        <f>HYPERLINK("https://klasma.github.io/Logging_1267/tillsyn/A 27233-2022 tillsynsbegäran.docx", "A 27233-2022")</f>
        <v/>
      </c>
      <c r="Y25">
        <f>HYPERLINK("https://klasma.github.io/Logging_1267/tillsynsmail/A 27233-2022 tillsynsbegäran mail.docx", "A 27233-2022")</f>
        <v/>
      </c>
    </row>
    <row r="26" ht="15" customHeight="1">
      <c r="A26" t="inlineStr">
        <is>
          <t>A 42053-2023</t>
        </is>
      </c>
      <c r="B26" s="1" t="n">
        <v>45174</v>
      </c>
      <c r="C26" s="1" t="n">
        <v>46201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HYPERLINK("https://klasma.github.io/Logging_1267/artfynd/A 42053-2023 artfynd.xlsx", "A 42053-2023")</f>
        <v/>
      </c>
      <c r="T26">
        <f>HYPERLINK("https://klasma.github.io/Logging_1267/kartor/A 42053-2023 karta.png", "A 42053-2023")</f>
        <v/>
      </c>
      <c r="V26">
        <f>HYPERLINK("https://klasma.github.io/Logging_1267/klagomål/A 42053-2023 FSC-klagomål.docx", "A 42053-2023")</f>
        <v/>
      </c>
      <c r="W26">
        <f>HYPERLINK("https://klasma.github.io/Logging_1267/klagomålsmail/A 42053-2023 FSC-klagomål mail.docx", "A 42053-2023")</f>
        <v/>
      </c>
      <c r="X26">
        <f>HYPERLINK("https://klasma.github.io/Logging_1267/tillsyn/A 42053-2023 tillsynsbegäran.docx", "A 42053-2023")</f>
        <v/>
      </c>
      <c r="Y26">
        <f>HYPERLINK("https://klasma.github.io/Logging_1267/tillsynsmail/A 42053-2023 tillsynsbegäran mail.docx", "A 42053-2023")</f>
        <v/>
      </c>
    </row>
    <row r="27" ht="15" customHeight="1">
      <c r="A27" t="inlineStr">
        <is>
          <t>A 18348-2022</t>
        </is>
      </c>
      <c r="B27" s="1" t="n">
        <v>44685</v>
      </c>
      <c r="C27" s="1" t="n">
        <v>46201</v>
      </c>
      <c r="D27" t="inlineStr">
        <is>
          <t>SKÅNE LÄN</t>
        </is>
      </c>
      <c r="E27" t="inlineStr">
        <is>
          <t>HÖÖR</t>
        </is>
      </c>
      <c r="F27" t="inlineStr">
        <is>
          <t>Sveaskog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Klotullört</t>
        </is>
      </c>
      <c r="S27">
        <f>HYPERLINK("https://klasma.github.io/Logging_1267/artfynd/A 18348-2022 artfynd.xlsx", "A 18348-2022")</f>
        <v/>
      </c>
      <c r="T27">
        <f>HYPERLINK("https://klasma.github.io/Logging_1267/kartor/A 18348-2022 karta.png", "A 18348-2022")</f>
        <v/>
      </c>
      <c r="V27">
        <f>HYPERLINK("https://klasma.github.io/Logging_1267/klagomål/A 18348-2022 FSC-klagomål.docx", "A 18348-2022")</f>
        <v/>
      </c>
      <c r="W27">
        <f>HYPERLINK("https://klasma.github.io/Logging_1267/klagomålsmail/A 18348-2022 FSC-klagomål mail.docx", "A 18348-2022")</f>
        <v/>
      </c>
      <c r="X27">
        <f>HYPERLINK("https://klasma.github.io/Logging_1267/tillsyn/A 18348-2022 tillsynsbegäran.docx", "A 18348-2022")</f>
        <v/>
      </c>
      <c r="Y27">
        <f>HYPERLINK("https://klasma.github.io/Logging_1267/tillsynsmail/A 18348-2022 tillsynsbegäran mail.docx", "A 18348-2022")</f>
        <v/>
      </c>
    </row>
    <row r="28" ht="15" customHeight="1">
      <c r="A28" t="inlineStr">
        <is>
          <t>A 3924-2024</t>
        </is>
      </c>
      <c r="B28" s="1" t="n">
        <v>45322</v>
      </c>
      <c r="C28" s="1" t="n">
        <v>46201</v>
      </c>
      <c r="D28" t="inlineStr">
        <is>
          <t>SKÅNE LÄN</t>
        </is>
      </c>
      <c r="E28" t="inlineStr">
        <is>
          <t>HÖÖR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Vitnoppa</t>
        </is>
      </c>
      <c r="S28">
        <f>HYPERLINK("https://klasma.github.io/Logging_1267/artfynd/A 3924-2024 artfynd.xlsx", "A 3924-2024")</f>
        <v/>
      </c>
      <c r="T28">
        <f>HYPERLINK("https://klasma.github.io/Logging_1267/kartor/A 3924-2024 karta.png", "A 3924-2024")</f>
        <v/>
      </c>
      <c r="V28">
        <f>HYPERLINK("https://klasma.github.io/Logging_1267/klagomål/A 3924-2024 FSC-klagomål.docx", "A 3924-2024")</f>
        <v/>
      </c>
      <c r="W28">
        <f>HYPERLINK("https://klasma.github.io/Logging_1267/klagomålsmail/A 3924-2024 FSC-klagomål mail.docx", "A 3924-2024")</f>
        <v/>
      </c>
      <c r="X28">
        <f>HYPERLINK("https://klasma.github.io/Logging_1267/tillsyn/A 3924-2024 tillsynsbegäran.docx", "A 3924-2024")</f>
        <v/>
      </c>
      <c r="Y28">
        <f>HYPERLINK("https://klasma.github.io/Logging_1267/tillsynsmail/A 3924-2024 tillsynsbegäran mail.docx", "A 3924-2024")</f>
        <v/>
      </c>
    </row>
    <row r="29" ht="15" customHeight="1">
      <c r="A29" t="inlineStr">
        <is>
          <t>A 54753-2022</t>
        </is>
      </c>
      <c r="B29" s="1" t="n">
        <v>44883</v>
      </c>
      <c r="C29" s="1" t="n">
        <v>46201</v>
      </c>
      <c r="D29" t="inlineStr">
        <is>
          <t>SKÅNE LÄN</t>
        </is>
      </c>
      <c r="E29" t="inlineStr">
        <is>
          <t>HÖÖR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HYPERLINK("https://klasma.github.io/Logging_1267/artfynd/A 54753-2022 artfynd.xlsx", "A 54753-2022")</f>
        <v/>
      </c>
      <c r="T29">
        <f>HYPERLINK("https://klasma.github.io/Logging_1267/kartor/A 54753-2022 karta.png", "A 54753-2022")</f>
        <v/>
      </c>
      <c r="V29">
        <f>HYPERLINK("https://klasma.github.io/Logging_1267/klagomål/A 54753-2022 FSC-klagomål.docx", "A 54753-2022")</f>
        <v/>
      </c>
      <c r="W29">
        <f>HYPERLINK("https://klasma.github.io/Logging_1267/klagomålsmail/A 54753-2022 FSC-klagomål mail.docx", "A 54753-2022")</f>
        <v/>
      </c>
      <c r="X29">
        <f>HYPERLINK("https://klasma.github.io/Logging_1267/tillsyn/A 54753-2022 tillsynsbegäran.docx", "A 54753-2022")</f>
        <v/>
      </c>
      <c r="Y29">
        <f>HYPERLINK("https://klasma.github.io/Logging_1267/tillsynsmail/A 54753-2022 tillsynsbegäran mail.docx", "A 54753-2022")</f>
        <v/>
      </c>
    </row>
    <row r="30" ht="15" customHeight="1">
      <c r="A30" t="inlineStr">
        <is>
          <t>A 13429-2023</t>
        </is>
      </c>
      <c r="B30" s="1" t="n">
        <v>45005</v>
      </c>
      <c r="C30" s="1" t="n">
        <v>46201</v>
      </c>
      <c r="D30" t="inlineStr">
        <is>
          <t>SKÅNE LÄN</t>
        </is>
      </c>
      <c r="E30" t="inlineStr">
        <is>
          <t>HÖÖR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HYPERLINK("https://klasma.github.io/Logging_1267/artfynd/A 13429-2023 artfynd.xlsx", "A 13429-2023")</f>
        <v/>
      </c>
      <c r="T30">
        <f>HYPERLINK("https://klasma.github.io/Logging_1267/kartor/A 13429-2023 karta.png", "A 13429-2023")</f>
        <v/>
      </c>
      <c r="V30">
        <f>HYPERLINK("https://klasma.github.io/Logging_1267/klagomål/A 13429-2023 FSC-klagomål.docx", "A 13429-2023")</f>
        <v/>
      </c>
      <c r="W30">
        <f>HYPERLINK("https://klasma.github.io/Logging_1267/klagomålsmail/A 13429-2023 FSC-klagomål mail.docx", "A 13429-2023")</f>
        <v/>
      </c>
      <c r="X30">
        <f>HYPERLINK("https://klasma.github.io/Logging_1267/tillsyn/A 13429-2023 tillsynsbegäran.docx", "A 13429-2023")</f>
        <v/>
      </c>
      <c r="Y30">
        <f>HYPERLINK("https://klasma.github.io/Logging_1267/tillsynsmail/A 13429-2023 tillsynsbegäran mail.docx", "A 13429-2023")</f>
        <v/>
      </c>
    </row>
    <row r="31" ht="15" customHeight="1">
      <c r="A31" t="inlineStr">
        <is>
          <t>A 61007-2024</t>
        </is>
      </c>
      <c r="B31" s="1" t="n">
        <v>45645</v>
      </c>
      <c r="C31" s="1" t="n">
        <v>46201</v>
      </c>
      <c r="D31" t="inlineStr">
        <is>
          <t>SKÅNE LÄN</t>
        </is>
      </c>
      <c r="E31" t="inlineStr">
        <is>
          <t>HÖÖR</t>
        </is>
      </c>
      <c r="F31" t="inlineStr">
        <is>
          <t>Kommuner</t>
        </is>
      </c>
      <c r="G31" t="n">
        <v>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Kungsfiskare</t>
        </is>
      </c>
      <c r="S31">
        <f>HYPERLINK("https://klasma.github.io/Logging_1267/artfynd/A 61007-2024 artfynd.xlsx", "A 61007-2024")</f>
        <v/>
      </c>
      <c r="T31">
        <f>HYPERLINK("https://klasma.github.io/Logging_1267/kartor/A 61007-2024 karta.png", "A 61007-2024")</f>
        <v/>
      </c>
      <c r="V31">
        <f>HYPERLINK("https://klasma.github.io/Logging_1267/klagomål/A 61007-2024 FSC-klagomål.docx", "A 61007-2024")</f>
        <v/>
      </c>
      <c r="W31">
        <f>HYPERLINK("https://klasma.github.io/Logging_1267/klagomålsmail/A 61007-2024 FSC-klagomål mail.docx", "A 61007-2024")</f>
        <v/>
      </c>
      <c r="X31">
        <f>HYPERLINK("https://klasma.github.io/Logging_1267/tillsyn/A 61007-2024 tillsynsbegäran.docx", "A 61007-2024")</f>
        <v/>
      </c>
      <c r="Y31">
        <f>HYPERLINK("https://klasma.github.io/Logging_1267/tillsynsmail/A 61007-2024 tillsynsbegäran mail.docx", "A 61007-2024")</f>
        <v/>
      </c>
    </row>
    <row r="32" ht="15" customHeight="1">
      <c r="A32" t="inlineStr">
        <is>
          <t>A 27902-2023</t>
        </is>
      </c>
      <c r="B32" s="1" t="n">
        <v>45098</v>
      </c>
      <c r="C32" s="1" t="n">
        <v>46201</v>
      </c>
      <c r="D32" t="inlineStr">
        <is>
          <t>SKÅNE LÄN</t>
        </is>
      </c>
      <c r="E32" t="inlineStr">
        <is>
          <t>HÖÖR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HYPERLINK("https://klasma.github.io/Logging_1267/artfynd/A 27902-2023 artfynd.xlsx", "A 27902-2023")</f>
        <v/>
      </c>
      <c r="T32">
        <f>HYPERLINK("https://klasma.github.io/Logging_1267/kartor/A 27902-2023 karta.png", "A 27902-2023")</f>
        <v/>
      </c>
      <c r="V32">
        <f>HYPERLINK("https://klasma.github.io/Logging_1267/klagomål/A 27902-2023 FSC-klagomål.docx", "A 27902-2023")</f>
        <v/>
      </c>
      <c r="W32">
        <f>HYPERLINK("https://klasma.github.io/Logging_1267/klagomålsmail/A 27902-2023 FSC-klagomål mail.docx", "A 27902-2023")</f>
        <v/>
      </c>
      <c r="X32">
        <f>HYPERLINK("https://klasma.github.io/Logging_1267/tillsyn/A 27902-2023 tillsynsbegäran.docx", "A 27902-2023")</f>
        <v/>
      </c>
      <c r="Y32">
        <f>HYPERLINK("https://klasma.github.io/Logging_1267/tillsynsmail/A 27902-2023 tillsynsbegäran mail.docx", "A 27902-2023")</f>
        <v/>
      </c>
    </row>
    <row r="33" ht="15" customHeight="1">
      <c r="A33" t="inlineStr">
        <is>
          <t>A 22569-2024</t>
        </is>
      </c>
      <c r="B33" s="1" t="n">
        <v>45447</v>
      </c>
      <c r="C33" s="1" t="n">
        <v>46201</v>
      </c>
      <c r="D33" t="inlineStr">
        <is>
          <t>SKÅNE LÄN</t>
        </is>
      </c>
      <c r="E33" t="inlineStr">
        <is>
          <t>HÖÖR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HYPERLINK("https://klasma.github.io/Logging_1267/artfynd/A 22569-2024 artfynd.xlsx", "A 22569-2024")</f>
        <v/>
      </c>
      <c r="T33">
        <f>HYPERLINK("https://klasma.github.io/Logging_1267/kartor/A 22569-2024 karta.png", "A 22569-2024")</f>
        <v/>
      </c>
      <c r="V33">
        <f>HYPERLINK("https://klasma.github.io/Logging_1267/klagomål/A 22569-2024 FSC-klagomål.docx", "A 22569-2024")</f>
        <v/>
      </c>
      <c r="W33">
        <f>HYPERLINK("https://klasma.github.io/Logging_1267/klagomålsmail/A 22569-2024 FSC-klagomål mail.docx", "A 22569-2024")</f>
        <v/>
      </c>
      <c r="X33">
        <f>HYPERLINK("https://klasma.github.io/Logging_1267/tillsyn/A 22569-2024 tillsynsbegäran.docx", "A 22569-2024")</f>
        <v/>
      </c>
      <c r="Y33">
        <f>HYPERLINK("https://klasma.github.io/Logging_1267/tillsynsmail/A 22569-2024 tillsynsbegäran mail.docx", "A 22569-2024")</f>
        <v/>
      </c>
      <c r="Z33">
        <f>HYPERLINK("https://klasma.github.io/Logging_1267/fåglar/A 22569-2024 prioriterade fågelarter.docx", "A 22569-2024")</f>
        <v/>
      </c>
    </row>
    <row r="34" ht="15" customHeight="1">
      <c r="A34" t="inlineStr">
        <is>
          <t>A 45550-2025</t>
        </is>
      </c>
      <c r="B34" s="1" t="n">
        <v>45922</v>
      </c>
      <c r="C34" s="1" t="n">
        <v>46201</v>
      </c>
      <c r="D34" t="inlineStr">
        <is>
          <t>SKÅNE LÄN</t>
        </is>
      </c>
      <c r="E34" t="inlineStr">
        <is>
          <t>HÖÖR</t>
        </is>
      </c>
      <c r="G34" t="n">
        <v>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45550-2025 artfynd.xlsx", "A 45550-2025")</f>
        <v/>
      </c>
      <c r="T34">
        <f>HYPERLINK("https://klasma.github.io/Logging_1267/kartor/A 45550-2025 karta.png", "A 45550-2025")</f>
        <v/>
      </c>
      <c r="V34">
        <f>HYPERLINK("https://klasma.github.io/Logging_1267/klagomål/A 45550-2025 FSC-klagomål.docx", "A 45550-2025")</f>
        <v/>
      </c>
      <c r="W34">
        <f>HYPERLINK("https://klasma.github.io/Logging_1267/klagomålsmail/A 45550-2025 FSC-klagomål mail.docx", "A 45550-2025")</f>
        <v/>
      </c>
      <c r="X34">
        <f>HYPERLINK("https://klasma.github.io/Logging_1267/tillsyn/A 45550-2025 tillsynsbegäran.docx", "A 45550-2025")</f>
        <v/>
      </c>
      <c r="Y34">
        <f>HYPERLINK("https://klasma.github.io/Logging_1267/tillsynsmail/A 45550-2025 tillsynsbegäran mail.docx", "A 45550-2025")</f>
        <v/>
      </c>
    </row>
    <row r="35" ht="15" customHeight="1">
      <c r="A35" t="inlineStr">
        <is>
          <t>A 48926-2024</t>
        </is>
      </c>
      <c r="B35" s="1" t="n">
        <v>45594</v>
      </c>
      <c r="C35" s="1" t="n">
        <v>46201</v>
      </c>
      <c r="D35" t="inlineStr">
        <is>
          <t>SKÅNE LÄN</t>
        </is>
      </c>
      <c r="E35" t="inlineStr">
        <is>
          <t>HÖÖR</t>
        </is>
      </c>
      <c r="G35" t="n">
        <v>10.8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HYPERLINK("https://klasma.github.io/Logging_1267/artfynd/A 48926-2024 artfynd.xlsx", "A 48926-2024")</f>
        <v/>
      </c>
      <c r="T35">
        <f>HYPERLINK("https://klasma.github.io/Logging_1267/kartor/A 48926-2024 karta.png", "A 48926-2024")</f>
        <v/>
      </c>
      <c r="V35">
        <f>HYPERLINK("https://klasma.github.io/Logging_1267/klagomål/A 48926-2024 FSC-klagomål.docx", "A 48926-2024")</f>
        <v/>
      </c>
      <c r="W35">
        <f>HYPERLINK("https://klasma.github.io/Logging_1267/klagomålsmail/A 48926-2024 FSC-klagomål mail.docx", "A 48926-2024")</f>
        <v/>
      </c>
      <c r="X35">
        <f>HYPERLINK("https://klasma.github.io/Logging_1267/tillsyn/A 48926-2024 tillsynsbegäran.docx", "A 48926-2024")</f>
        <v/>
      </c>
      <c r="Y35">
        <f>HYPERLINK("https://klasma.github.io/Logging_1267/tillsynsmail/A 48926-2024 tillsynsbegäran mail.docx", "A 48926-2024")</f>
        <v/>
      </c>
    </row>
    <row r="36" ht="15" customHeight="1">
      <c r="A36" t="inlineStr">
        <is>
          <t>A 25480-2025</t>
        </is>
      </c>
      <c r="B36" s="1" t="n">
        <v>45802</v>
      </c>
      <c r="C36" s="1" t="n">
        <v>46201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Hålnunneört</t>
        </is>
      </c>
      <c r="S36">
        <f>HYPERLINK("https://klasma.github.io/Logging_1267/artfynd/A 25480-2025 artfynd.xlsx", "A 25480-2025")</f>
        <v/>
      </c>
      <c r="T36">
        <f>HYPERLINK("https://klasma.github.io/Logging_1267/kartor/A 25480-2025 karta.png", "A 25480-2025")</f>
        <v/>
      </c>
      <c r="V36">
        <f>HYPERLINK("https://klasma.github.io/Logging_1267/klagomål/A 25480-2025 FSC-klagomål.docx", "A 25480-2025")</f>
        <v/>
      </c>
      <c r="W36">
        <f>HYPERLINK("https://klasma.github.io/Logging_1267/klagomålsmail/A 25480-2025 FSC-klagomål mail.docx", "A 25480-2025")</f>
        <v/>
      </c>
      <c r="X36">
        <f>HYPERLINK("https://klasma.github.io/Logging_1267/tillsyn/A 25480-2025 tillsynsbegäran.docx", "A 25480-2025")</f>
        <v/>
      </c>
      <c r="Y36">
        <f>HYPERLINK("https://klasma.github.io/Logging_1267/tillsynsmail/A 25480-2025 tillsynsbegäran mail.docx", "A 25480-2025")</f>
        <v/>
      </c>
    </row>
    <row r="37" ht="15" customHeight="1">
      <c r="A37" t="inlineStr">
        <is>
          <t>A 54563-2022</t>
        </is>
      </c>
      <c r="B37" s="1" t="n">
        <v>44882</v>
      </c>
      <c r="C37" s="1" t="n">
        <v>46201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37135-2021</t>
        </is>
      </c>
      <c r="B38" s="1" t="n">
        <v>44396</v>
      </c>
      <c r="C38" s="1" t="n">
        <v>46201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51197-2021</t>
        </is>
      </c>
      <c r="B39" s="1" t="n">
        <v>44460</v>
      </c>
      <c r="C39" s="1" t="n">
        <v>46201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54738-2022</t>
        </is>
      </c>
      <c r="B40" s="1" t="n">
        <v>44883</v>
      </c>
      <c r="C40" s="1" t="n">
        <v>46201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44160-2021</t>
        </is>
      </c>
      <c r="B41" s="1" t="n">
        <v>44434</v>
      </c>
      <c r="C41" s="1" t="n">
        <v>46201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44173-2021</t>
        </is>
      </c>
      <c r="B42" s="1" t="n">
        <v>44434</v>
      </c>
      <c r="C42" s="1" t="n">
        <v>46201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44166-2021</t>
        </is>
      </c>
      <c r="B43" s="1" t="n">
        <v>44434</v>
      </c>
      <c r="C43" s="1" t="n">
        <v>46201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</v>
      </c>
      <c r="C44" s="1" t="n">
        <v>46201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70982-2021</t>
        </is>
      </c>
      <c r="B45" s="1" t="n">
        <v>44538</v>
      </c>
      <c r="C45" s="1" t="n">
        <v>46201</v>
      </c>
      <c r="D45" t="inlineStr">
        <is>
          <t>SKÅNE LÄN</t>
        </is>
      </c>
      <c r="E45" t="inlineStr">
        <is>
          <t>HÖÖR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46107-2021</t>
        </is>
      </c>
      <c r="B46" s="1" t="n">
        <v>44442</v>
      </c>
      <c r="C46" s="1" t="n">
        <v>46201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46201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46201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46201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46201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5730-2022</t>
        </is>
      </c>
      <c r="B51" s="1" t="n">
        <v>44596</v>
      </c>
      <c r="C51" s="1" t="n">
        <v>46201</v>
      </c>
      <c r="D51" t="inlineStr">
        <is>
          <t>SKÅNE LÄN</t>
        </is>
      </c>
      <c r="E51" t="inlineStr">
        <is>
          <t>HÖÖR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13437-2023</t>
        </is>
      </c>
      <c r="B52" s="1" t="n">
        <v>45005</v>
      </c>
      <c r="C52" s="1" t="n">
        <v>46201</v>
      </c>
      <c r="D52" t="inlineStr">
        <is>
          <t>SKÅNE LÄN</t>
        </is>
      </c>
      <c r="E52" t="inlineStr">
        <is>
          <t>HÖÖR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14515-2023</t>
        </is>
      </c>
      <c r="B53" s="1" t="n">
        <v>45012</v>
      </c>
      <c r="C53" s="1" t="n">
        <v>46201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26757-2023</t>
        </is>
      </c>
      <c r="B54" s="1" t="n">
        <v>45093</v>
      </c>
      <c r="C54" s="1" t="n">
        <v>46201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3480-2022</t>
        </is>
      </c>
      <c r="B55" s="1" t="n">
        <v>44585</v>
      </c>
      <c r="C55" s="1" t="n">
        <v>46201</v>
      </c>
      <c r="D55" t="inlineStr">
        <is>
          <t>SKÅNE LÄN</t>
        </is>
      </c>
      <c r="E55" t="inlineStr">
        <is>
          <t>HÖÖR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20381-2025</t>
        </is>
      </c>
      <c r="B56" s="1" t="n">
        <v>45775</v>
      </c>
      <c r="C56" s="1" t="n">
        <v>46201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10007-2022</t>
        </is>
      </c>
      <c r="B57" s="1" t="n">
        <v>44621</v>
      </c>
      <c r="C57" s="1" t="n">
        <v>46201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43877-2022</t>
        </is>
      </c>
      <c r="B58" s="1" t="n">
        <v>44838</v>
      </c>
      <c r="C58" s="1" t="n">
        <v>46201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43897-2022</t>
        </is>
      </c>
      <c r="B59" s="1" t="n">
        <v>44838</v>
      </c>
      <c r="C59" s="1" t="n">
        <v>46201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7306-2023</t>
        </is>
      </c>
      <c r="B60" s="1" t="n">
        <v>44970</v>
      </c>
      <c r="C60" s="1" t="n">
        <v>46201</v>
      </c>
      <c r="D60" t="inlineStr">
        <is>
          <t>SKÅNE LÄN</t>
        </is>
      </c>
      <c r="E60" t="inlineStr">
        <is>
          <t>HÖÖR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35491-2021</t>
        </is>
      </c>
      <c r="B61" s="1" t="n">
        <v>44385</v>
      </c>
      <c r="C61" s="1" t="n">
        <v>46201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35801-2024</t>
        </is>
      </c>
      <c r="B62" s="1" t="n">
        <v>45532</v>
      </c>
      <c r="C62" s="1" t="n">
        <v>46201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16110-2024</t>
        </is>
      </c>
      <c r="B63" s="1" t="n">
        <v>45406</v>
      </c>
      <c r="C63" s="1" t="n">
        <v>46201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30087-2023</t>
        </is>
      </c>
      <c r="B64" s="1" t="n">
        <v>45110</v>
      </c>
      <c r="C64" s="1" t="n">
        <v>46201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27219-2022</t>
        </is>
      </c>
      <c r="B65" s="1" t="n">
        <v>44741</v>
      </c>
      <c r="C65" s="1" t="n">
        <v>46201</v>
      </c>
      <c r="D65" t="inlineStr">
        <is>
          <t>SKÅNE LÄN</t>
        </is>
      </c>
      <c r="E65" t="inlineStr">
        <is>
          <t>HÖÖR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18345-2022</t>
        </is>
      </c>
      <c r="B66" s="1" t="n">
        <v>44685</v>
      </c>
      <c r="C66" s="1" t="n">
        <v>46201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37675-2023</t>
        </is>
      </c>
      <c r="B67" s="1" t="n">
        <v>45159</v>
      </c>
      <c r="C67" s="1" t="n">
        <v>46201</v>
      </c>
      <c r="D67" t="inlineStr">
        <is>
          <t>SKÅNE LÄN</t>
        </is>
      </c>
      <c r="E67" t="inlineStr">
        <is>
          <t>HÖÖR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36211-2024</t>
        </is>
      </c>
      <c r="B68" s="1" t="n">
        <v>45534</v>
      </c>
      <c r="C68" s="1" t="n">
        <v>46201</v>
      </c>
      <c r="D68" t="inlineStr">
        <is>
          <t>SKÅNE LÄN</t>
        </is>
      </c>
      <c r="E68" t="inlineStr">
        <is>
          <t>HÖÖR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63268-2023</t>
        </is>
      </c>
      <c r="B69" s="1" t="n">
        <v>45273</v>
      </c>
      <c r="C69" s="1" t="n">
        <v>46201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16434-2025</t>
        </is>
      </c>
      <c r="B70" s="1" t="n">
        <v>45751</v>
      </c>
      <c r="C70" s="1" t="n">
        <v>46201</v>
      </c>
      <c r="D70" t="inlineStr">
        <is>
          <t>SKÅNE LÄN</t>
        </is>
      </c>
      <c r="E70" t="inlineStr">
        <is>
          <t>HÖÖR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43891-2022</t>
        </is>
      </c>
      <c r="B71" s="1" t="n">
        <v>44838</v>
      </c>
      <c r="C71" s="1" t="n">
        <v>46201</v>
      </c>
      <c r="D71" t="inlineStr">
        <is>
          <t>SKÅNE LÄN</t>
        </is>
      </c>
      <c r="E71" t="inlineStr">
        <is>
          <t>HÖÖR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2114-2025</t>
        </is>
      </c>
      <c r="B72" s="1" t="n">
        <v>45672</v>
      </c>
      <c r="C72" s="1" t="n">
        <v>46201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31092-2023</t>
        </is>
      </c>
      <c r="B73" s="1" t="n">
        <v>45113</v>
      </c>
      <c r="C73" s="1" t="n">
        <v>46201</v>
      </c>
      <c r="D73" t="inlineStr">
        <is>
          <t>SKÅNE LÄN</t>
        </is>
      </c>
      <c r="E73" t="inlineStr">
        <is>
          <t>HÖÖR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57461-2022</t>
        </is>
      </c>
      <c r="B74" s="1" t="n">
        <v>44896</v>
      </c>
      <c r="C74" s="1" t="n">
        <v>46201</v>
      </c>
      <c r="D74" t="inlineStr">
        <is>
          <t>SKÅNE LÄN</t>
        </is>
      </c>
      <c r="E74" t="inlineStr">
        <is>
          <t>HÖÖR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21066-2023</t>
        </is>
      </c>
      <c r="B75" s="1" t="n">
        <v>45061</v>
      </c>
      <c r="C75" s="1" t="n">
        <v>46201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46201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15905-2024</t>
        </is>
      </c>
      <c r="B77" s="1" t="n">
        <v>45405</v>
      </c>
      <c r="C77" s="1" t="n">
        <v>46201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28385-2024</t>
        </is>
      </c>
      <c r="B78" s="1" t="n">
        <v>45477</v>
      </c>
      <c r="C78" s="1" t="n">
        <v>46201</v>
      </c>
      <c r="D78" t="inlineStr">
        <is>
          <t>SKÅNE LÄN</t>
        </is>
      </c>
      <c r="E78" t="inlineStr">
        <is>
          <t>HÖÖR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28332-2024</t>
        </is>
      </c>
      <c r="B79" s="1" t="n">
        <v>45477</v>
      </c>
      <c r="C79" s="1" t="n">
        <v>46201</v>
      </c>
      <c r="D79" t="inlineStr">
        <is>
          <t>SKÅNE LÄN</t>
        </is>
      </c>
      <c r="E79" t="inlineStr">
        <is>
          <t>HÖÖR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47136-2022</t>
        </is>
      </c>
      <c r="B80" s="1" t="n">
        <v>44848</v>
      </c>
      <c r="C80" s="1" t="n">
        <v>46201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46777-2024</t>
        </is>
      </c>
      <c r="B81" s="1" t="n">
        <v>45583</v>
      </c>
      <c r="C81" s="1" t="n">
        <v>46201</v>
      </c>
      <c r="D81" t="inlineStr">
        <is>
          <t>SKÅNE LÄN</t>
        </is>
      </c>
      <c r="E81" t="inlineStr">
        <is>
          <t>HÖÖR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6760-2024</t>
        </is>
      </c>
      <c r="B82" s="1" t="n">
        <v>45342</v>
      </c>
      <c r="C82" s="1" t="n">
        <v>46201</v>
      </c>
      <c r="D82" t="inlineStr">
        <is>
          <t>SKÅNE LÄN</t>
        </is>
      </c>
      <c r="E82" t="inlineStr">
        <is>
          <t>HÖÖR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65200-2021</t>
        </is>
      </c>
      <c r="B83" s="1" t="n">
        <v>44515</v>
      </c>
      <c r="C83" s="1" t="n">
        <v>46201</v>
      </c>
      <c r="D83" t="inlineStr">
        <is>
          <t>SKÅNE LÄN</t>
        </is>
      </c>
      <c r="E83" t="inlineStr">
        <is>
          <t>HÖÖR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6174-2025</t>
        </is>
      </c>
      <c r="B84" s="1" t="n">
        <v>45698</v>
      </c>
      <c r="C84" s="1" t="n">
        <v>46201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14554-2025</t>
        </is>
      </c>
      <c r="B85" s="1" t="n">
        <v>45741</v>
      </c>
      <c r="C85" s="1" t="n">
        <v>46201</v>
      </c>
      <c r="D85" t="inlineStr">
        <is>
          <t>SKÅNE LÄN</t>
        </is>
      </c>
      <c r="E85" t="inlineStr">
        <is>
          <t>HÖÖR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19633-2023</t>
        </is>
      </c>
      <c r="B86" s="1" t="n">
        <v>45051</v>
      </c>
      <c r="C86" s="1" t="n">
        <v>46201</v>
      </c>
      <c r="D86" t="inlineStr">
        <is>
          <t>SKÅNE LÄN</t>
        </is>
      </c>
      <c r="E86" t="inlineStr">
        <is>
          <t>HÖÖR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25934-2022</t>
        </is>
      </c>
      <c r="B87" s="1" t="n">
        <v>44734</v>
      </c>
      <c r="C87" s="1" t="n">
        <v>46201</v>
      </c>
      <c r="D87" t="inlineStr">
        <is>
          <t>SKÅNE LÄN</t>
        </is>
      </c>
      <c r="E87" t="inlineStr">
        <is>
          <t>HÖÖR</t>
        </is>
      </c>
      <c r="F87" t="inlineStr">
        <is>
          <t>Övriga statliga verk och myndigheter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12855-2023</t>
        </is>
      </c>
      <c r="B88" s="1" t="n">
        <v>45001</v>
      </c>
      <c r="C88" s="1" t="n">
        <v>46201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6440-2024</t>
        </is>
      </c>
      <c r="B89" s="1" t="n">
        <v>45338</v>
      </c>
      <c r="C89" s="1" t="n">
        <v>46201</v>
      </c>
      <c r="D89" t="inlineStr">
        <is>
          <t>SKÅNE LÄN</t>
        </is>
      </c>
      <c r="E89" t="inlineStr">
        <is>
          <t>HÖÖR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11379-2024</t>
        </is>
      </c>
      <c r="B90" s="1" t="n">
        <v>45372</v>
      </c>
      <c r="C90" s="1" t="n">
        <v>46201</v>
      </c>
      <c r="D90" t="inlineStr">
        <is>
          <t>SKÅNE LÄN</t>
        </is>
      </c>
      <c r="E90" t="inlineStr">
        <is>
          <t>HÖÖR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4247-2025</t>
        </is>
      </c>
      <c r="B91" s="1" t="n">
        <v>45685</v>
      </c>
      <c r="C91" s="1" t="n">
        <v>46201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53956-2023</t>
        </is>
      </c>
      <c r="B92" s="1" t="n">
        <v>45231</v>
      </c>
      <c r="C92" s="1" t="n">
        <v>46201</v>
      </c>
      <c r="D92" t="inlineStr">
        <is>
          <t>SKÅNE LÄN</t>
        </is>
      </c>
      <c r="E92" t="inlineStr">
        <is>
          <t>HÖÖR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56596-2022</t>
        </is>
      </c>
      <c r="B93" s="1" t="n">
        <v>44888</v>
      </c>
      <c r="C93" s="1" t="n">
        <v>46201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3407-2024</t>
        </is>
      </c>
      <c r="B94" s="1" t="n">
        <v>45318</v>
      </c>
      <c r="C94" s="1" t="n">
        <v>46201</v>
      </c>
      <c r="D94" t="inlineStr">
        <is>
          <t>SKÅNE LÄN</t>
        </is>
      </c>
      <c r="E94" t="inlineStr">
        <is>
          <t>HÖÖR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4245-2025</t>
        </is>
      </c>
      <c r="B95" s="1" t="n">
        <v>45685</v>
      </c>
      <c r="C95" s="1" t="n">
        <v>46201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61377-2024</t>
        </is>
      </c>
      <c r="B96" s="1" t="n">
        <v>45646</v>
      </c>
      <c r="C96" s="1" t="n">
        <v>46201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6589-2025</t>
        </is>
      </c>
      <c r="B97" s="1" t="n">
        <v>45700</v>
      </c>
      <c r="C97" s="1" t="n">
        <v>46201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16663-2022</t>
        </is>
      </c>
      <c r="B98" s="1" t="n">
        <v>44672</v>
      </c>
      <c r="C98" s="1" t="n">
        <v>46201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61011-2023</t>
        </is>
      </c>
      <c r="B99" s="1" t="n">
        <v>45261</v>
      </c>
      <c r="C99" s="1" t="n">
        <v>46201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26764-2023</t>
        </is>
      </c>
      <c r="B100" s="1" t="n">
        <v>45093</v>
      </c>
      <c r="C100" s="1" t="n">
        <v>46201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6941-2024</t>
        </is>
      </c>
      <c r="B101" s="1" t="n">
        <v>45343</v>
      </c>
      <c r="C101" s="1" t="n">
        <v>46201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6944-2024</t>
        </is>
      </c>
      <c r="B102" s="1" t="n">
        <v>45343</v>
      </c>
      <c r="C102" s="1" t="n">
        <v>46201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53848-2023</t>
        </is>
      </c>
      <c r="B103" s="1" t="n">
        <v>45231</v>
      </c>
      <c r="C103" s="1" t="n">
        <v>46201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2935-2024</t>
        </is>
      </c>
      <c r="B104" s="1" t="n">
        <v>45315</v>
      </c>
      <c r="C104" s="1" t="n">
        <v>46201</v>
      </c>
      <c r="D104" t="inlineStr">
        <is>
          <t>SKÅNE LÄN</t>
        </is>
      </c>
      <c r="E104" t="inlineStr">
        <is>
          <t>HÖÖR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10452-2023</t>
        </is>
      </c>
      <c r="B105" s="1" t="n">
        <v>44981</v>
      </c>
      <c r="C105" s="1" t="n">
        <v>46201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2950-2024</t>
        </is>
      </c>
      <c r="B106" s="1" t="n">
        <v>45315</v>
      </c>
      <c r="C106" s="1" t="n">
        <v>46201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20512-2023</t>
        </is>
      </c>
      <c r="B107" s="1" t="n">
        <v>45057</v>
      </c>
      <c r="C107" s="1" t="n">
        <v>46201</v>
      </c>
      <c r="D107" t="inlineStr">
        <is>
          <t>SKÅNE LÄN</t>
        </is>
      </c>
      <c r="E107" t="inlineStr">
        <is>
          <t>HÖÖR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43996-2022</t>
        </is>
      </c>
      <c r="B108" s="1" t="n">
        <v>44838</v>
      </c>
      <c r="C108" s="1" t="n">
        <v>46201</v>
      </c>
      <c r="D108" t="inlineStr">
        <is>
          <t>SKÅNE LÄN</t>
        </is>
      </c>
      <c r="E108" t="inlineStr">
        <is>
          <t>HÖÖR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14849-2024</t>
        </is>
      </c>
      <c r="B109" s="1" t="n">
        <v>45398</v>
      </c>
      <c r="C109" s="1" t="n">
        <v>46201</v>
      </c>
      <c r="D109" t="inlineStr">
        <is>
          <t>SKÅNE LÄN</t>
        </is>
      </c>
      <c r="E109" t="inlineStr">
        <is>
          <t>HÖÖR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17723-2023</t>
        </is>
      </c>
      <c r="B110" s="1" t="n">
        <v>45037</v>
      </c>
      <c r="C110" s="1" t="n">
        <v>46201</v>
      </c>
      <c r="D110" t="inlineStr">
        <is>
          <t>SKÅNE LÄN</t>
        </is>
      </c>
      <c r="E110" t="inlineStr">
        <is>
          <t>HÖÖR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531-2025</t>
        </is>
      </c>
      <c r="B111" s="1" t="n">
        <v>45664</v>
      </c>
      <c r="C111" s="1" t="n">
        <v>46201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47222-2022</t>
        </is>
      </c>
      <c r="B112" s="1" t="n">
        <v>44852</v>
      </c>
      <c r="C112" s="1" t="n">
        <v>46201</v>
      </c>
      <c r="D112" t="inlineStr">
        <is>
          <t>SKÅNE LÄN</t>
        </is>
      </c>
      <c r="E112" t="inlineStr">
        <is>
          <t>HÖÖR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16665-2022</t>
        </is>
      </c>
      <c r="B113" s="1" t="n">
        <v>44672</v>
      </c>
      <c r="C113" s="1" t="n">
        <v>46201</v>
      </c>
      <c r="D113" t="inlineStr">
        <is>
          <t>SKÅNE LÄN</t>
        </is>
      </c>
      <c r="E113" t="inlineStr">
        <is>
          <t>HÖÖR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4928-2022</t>
        </is>
      </c>
      <c r="B114" s="1" t="n">
        <v>44593</v>
      </c>
      <c r="C114" s="1" t="n">
        <v>46201</v>
      </c>
      <c r="D114" t="inlineStr">
        <is>
          <t>SKÅNE LÄN</t>
        </is>
      </c>
      <c r="E114" t="inlineStr">
        <is>
          <t>HÖÖR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44960-2023</t>
        </is>
      </c>
      <c r="B115" s="1" t="n">
        <v>45190</v>
      </c>
      <c r="C115" s="1" t="n">
        <v>46201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4120-2024</t>
        </is>
      </c>
      <c r="B116" s="1" t="n">
        <v>45323</v>
      </c>
      <c r="C116" s="1" t="n">
        <v>46201</v>
      </c>
      <c r="D116" t="inlineStr">
        <is>
          <t>SKÅNE LÄN</t>
        </is>
      </c>
      <c r="E116" t="inlineStr">
        <is>
          <t>HÖÖR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14514-2023</t>
        </is>
      </c>
      <c r="B117" s="1" t="n">
        <v>45012</v>
      </c>
      <c r="C117" s="1" t="n">
        <v>46201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39603-2023</t>
        </is>
      </c>
      <c r="B118" s="1" t="n">
        <v>45167</v>
      </c>
      <c r="C118" s="1" t="n">
        <v>46201</v>
      </c>
      <c r="D118" t="inlineStr">
        <is>
          <t>SKÅNE LÄN</t>
        </is>
      </c>
      <c r="E118" t="inlineStr">
        <is>
          <t>HÖÖR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13432-2023</t>
        </is>
      </c>
      <c r="B119" s="1" t="n">
        <v>45005</v>
      </c>
      <c r="C119" s="1" t="n">
        <v>46201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54711-2024</t>
        </is>
      </c>
      <c r="B120" s="1" t="n">
        <v>45618</v>
      </c>
      <c r="C120" s="1" t="n">
        <v>46201</v>
      </c>
      <c r="D120" t="inlineStr">
        <is>
          <t>SKÅNE LÄN</t>
        </is>
      </c>
      <c r="E120" t="inlineStr">
        <is>
          <t>HÖÖR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63139-2023</t>
        </is>
      </c>
      <c r="B121" s="1" t="n">
        <v>45273</v>
      </c>
      <c r="C121" s="1" t="n">
        <v>46201</v>
      </c>
      <c r="D121" t="inlineStr">
        <is>
          <t>SKÅNE LÄN</t>
        </is>
      </c>
      <c r="E121" t="inlineStr">
        <is>
          <t>HÖÖR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45092-2024</t>
        </is>
      </c>
      <c r="B122" s="1" t="n">
        <v>45575</v>
      </c>
      <c r="C122" s="1" t="n">
        <v>46201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5138-2022</t>
        </is>
      </c>
      <c r="B123" s="1" t="n">
        <v>44594</v>
      </c>
      <c r="C123" s="1" t="n">
        <v>46201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28189-2024</t>
        </is>
      </c>
      <c r="B124" s="1" t="n">
        <v>45477</v>
      </c>
      <c r="C124" s="1" t="n">
        <v>46201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26592-2025</t>
        </is>
      </c>
      <c r="B125" s="1" t="n">
        <v>45807</v>
      </c>
      <c r="C125" s="1" t="n">
        <v>46201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53455-2022</t>
        </is>
      </c>
      <c r="B126" s="1" t="n">
        <v>44874</v>
      </c>
      <c r="C126" s="1" t="n">
        <v>46201</v>
      </c>
      <c r="D126" t="inlineStr">
        <is>
          <t>SKÅNE LÄN</t>
        </is>
      </c>
      <c r="E126" t="inlineStr">
        <is>
          <t>HÖÖR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59702-2022</t>
        </is>
      </c>
      <c r="B127" s="1" t="n">
        <v>44908</v>
      </c>
      <c r="C127" s="1" t="n">
        <v>46201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18246-2023</t>
        </is>
      </c>
      <c r="B128" s="1" t="n">
        <v>45041</v>
      </c>
      <c r="C128" s="1" t="n">
        <v>46201</v>
      </c>
      <c r="D128" t="inlineStr">
        <is>
          <t>SKÅNE LÄN</t>
        </is>
      </c>
      <c r="E128" t="inlineStr">
        <is>
          <t>HÖÖR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4501-2024</t>
        </is>
      </c>
      <c r="B129" s="1" t="n">
        <v>45327</v>
      </c>
      <c r="C129" s="1" t="n">
        <v>46201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530-2025</t>
        </is>
      </c>
      <c r="B130" s="1" t="n">
        <v>45664</v>
      </c>
      <c r="C130" s="1" t="n">
        <v>46201</v>
      </c>
      <c r="D130" t="inlineStr">
        <is>
          <t>SKÅNE LÄN</t>
        </is>
      </c>
      <c r="E130" t="inlineStr">
        <is>
          <t>HÖÖR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56231-2022</t>
        </is>
      </c>
      <c r="B131" s="1" t="n">
        <v>44890</v>
      </c>
      <c r="C131" s="1" t="n">
        <v>46201</v>
      </c>
      <c r="D131" t="inlineStr">
        <is>
          <t>SKÅNE LÄN</t>
        </is>
      </c>
      <c r="E131" t="inlineStr">
        <is>
          <t>HÖÖR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16969-2025</t>
        </is>
      </c>
      <c r="B132" s="1" t="n">
        <v>45755</v>
      </c>
      <c r="C132" s="1" t="n">
        <v>46201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57428-2023</t>
        </is>
      </c>
      <c r="B133" s="1" t="n">
        <v>45240</v>
      </c>
      <c r="C133" s="1" t="n">
        <v>46201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40595-2021</t>
        </is>
      </c>
      <c r="B134" s="1" t="n">
        <v>44420</v>
      </c>
      <c r="C134" s="1" t="n">
        <v>46201</v>
      </c>
      <c r="D134" t="inlineStr">
        <is>
          <t>SKÅNE LÄN</t>
        </is>
      </c>
      <c r="E134" t="inlineStr">
        <is>
          <t>HÖÖR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1475-2022</t>
        </is>
      </c>
      <c r="B135" s="1" t="n">
        <v>44573</v>
      </c>
      <c r="C135" s="1" t="n">
        <v>46201</v>
      </c>
      <c r="D135" t="inlineStr">
        <is>
          <t>SKÅNE LÄN</t>
        </is>
      </c>
      <c r="E135" t="inlineStr">
        <is>
          <t>HÖÖR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41623-2023</t>
        </is>
      </c>
      <c r="B136" s="1" t="n">
        <v>45175</v>
      </c>
      <c r="C136" s="1" t="n">
        <v>46201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9701-2023</t>
        </is>
      </c>
      <c r="B137" s="1" t="n">
        <v>44984</v>
      </c>
      <c r="C137" s="1" t="n">
        <v>46201</v>
      </c>
      <c r="D137" t="inlineStr">
        <is>
          <t>SKÅNE LÄN</t>
        </is>
      </c>
      <c r="E137" t="inlineStr">
        <is>
          <t>HÖÖR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43871-2022</t>
        </is>
      </c>
      <c r="B138" s="1" t="n">
        <v>44838</v>
      </c>
      <c r="C138" s="1" t="n">
        <v>46201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46201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37074-2024</t>
        </is>
      </c>
      <c r="B140" s="1" t="n">
        <v>45539</v>
      </c>
      <c r="C140" s="1" t="n">
        <v>46201</v>
      </c>
      <c r="D140" t="inlineStr">
        <is>
          <t>SKÅNE LÄN</t>
        </is>
      </c>
      <c r="E140" t="inlineStr">
        <is>
          <t>HÖÖR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8478-2025</t>
        </is>
      </c>
      <c r="B141" s="1" t="n">
        <v>45709</v>
      </c>
      <c r="C141" s="1" t="n">
        <v>46201</v>
      </c>
      <c r="D141" t="inlineStr">
        <is>
          <t>SKÅNE LÄN</t>
        </is>
      </c>
      <c r="E141" t="inlineStr">
        <is>
          <t>HÖÖR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51301-2024</t>
        </is>
      </c>
      <c r="B142" s="1" t="n">
        <v>45604</v>
      </c>
      <c r="C142" s="1" t="n">
        <v>46201</v>
      </c>
      <c r="D142" t="inlineStr">
        <is>
          <t>SKÅNE LÄN</t>
        </is>
      </c>
      <c r="E142" t="inlineStr">
        <is>
          <t>HÖÖR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45349-2023</t>
        </is>
      </c>
      <c r="B143" s="1" t="n">
        <v>45191</v>
      </c>
      <c r="C143" s="1" t="n">
        <v>46201</v>
      </c>
      <c r="D143" t="inlineStr">
        <is>
          <t>SKÅNE LÄN</t>
        </is>
      </c>
      <c r="E143" t="inlineStr">
        <is>
          <t>HÖÖR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7782-2022</t>
        </is>
      </c>
      <c r="B144" s="1" t="n">
        <v>44608</v>
      </c>
      <c r="C144" s="1" t="n">
        <v>46201</v>
      </c>
      <c r="D144" t="inlineStr">
        <is>
          <t>SKÅNE LÄN</t>
        </is>
      </c>
      <c r="E144" t="inlineStr">
        <is>
          <t>HÖÖR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3940-2024</t>
        </is>
      </c>
      <c r="B145" s="1" t="n">
        <v>45322</v>
      </c>
      <c r="C145" s="1" t="n">
        <v>46201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29285-2025</t>
        </is>
      </c>
      <c r="B146" s="1" t="n">
        <v>45824</v>
      </c>
      <c r="C146" s="1" t="n">
        <v>46201</v>
      </c>
      <c r="D146" t="inlineStr">
        <is>
          <t>SKÅNE LÄN</t>
        </is>
      </c>
      <c r="E146" t="inlineStr">
        <is>
          <t>HÖÖR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36884-2023</t>
        </is>
      </c>
      <c r="B147" s="1" t="n">
        <v>45154</v>
      </c>
      <c r="C147" s="1" t="n">
        <v>46201</v>
      </c>
      <c r="D147" t="inlineStr">
        <is>
          <t>SKÅNE LÄN</t>
        </is>
      </c>
      <c r="E147" t="inlineStr">
        <is>
          <t>HÖÖR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53460-2022</t>
        </is>
      </c>
      <c r="B148" s="1" t="n">
        <v>44879</v>
      </c>
      <c r="C148" s="1" t="n">
        <v>46201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16787-2025</t>
        </is>
      </c>
      <c r="B149" s="1" t="n">
        <v>45754</v>
      </c>
      <c r="C149" s="1" t="n">
        <v>46201</v>
      </c>
      <c r="D149" t="inlineStr">
        <is>
          <t>SKÅNE LÄN</t>
        </is>
      </c>
      <c r="E149" t="inlineStr">
        <is>
          <t>HÖÖR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28830-2025</t>
        </is>
      </c>
      <c r="B150" s="1" t="n">
        <v>45820</v>
      </c>
      <c r="C150" s="1" t="n">
        <v>46201</v>
      </c>
      <c r="D150" t="inlineStr">
        <is>
          <t>SKÅNE LÄN</t>
        </is>
      </c>
      <c r="E150" t="inlineStr">
        <is>
          <t>HÖÖR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44739-2024</t>
        </is>
      </c>
      <c r="B151" s="1" t="n">
        <v>45574</v>
      </c>
      <c r="C151" s="1" t="n">
        <v>46201</v>
      </c>
      <c r="D151" t="inlineStr">
        <is>
          <t>SKÅNE LÄN</t>
        </is>
      </c>
      <c r="E151" t="inlineStr">
        <is>
          <t>HÖÖR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50196-2022</t>
        </is>
      </c>
      <c r="B152" s="1" t="n">
        <v>44860</v>
      </c>
      <c r="C152" s="1" t="n">
        <v>46201</v>
      </c>
      <c r="D152" t="inlineStr">
        <is>
          <t>SKÅNE LÄN</t>
        </is>
      </c>
      <c r="E152" t="inlineStr">
        <is>
          <t>HÖÖR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30951-2023</t>
        </is>
      </c>
      <c r="B153" s="1" t="n">
        <v>45113</v>
      </c>
      <c r="C153" s="1" t="n">
        <v>46201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12025-2025</t>
        </is>
      </c>
      <c r="B154" s="1" t="n">
        <v>45728</v>
      </c>
      <c r="C154" s="1" t="n">
        <v>46201</v>
      </c>
      <c r="D154" t="inlineStr">
        <is>
          <t>SKÅNE LÄN</t>
        </is>
      </c>
      <c r="E154" t="inlineStr">
        <is>
          <t>HÖÖR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26590-2025</t>
        </is>
      </c>
      <c r="B155" s="1" t="n">
        <v>45807</v>
      </c>
      <c r="C155" s="1" t="n">
        <v>46201</v>
      </c>
      <c r="D155" t="inlineStr">
        <is>
          <t>SKÅNE LÄN</t>
        </is>
      </c>
      <c r="E155" t="inlineStr">
        <is>
          <t>HÖÖR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53807-2023</t>
        </is>
      </c>
      <c r="B156" s="1" t="n">
        <v>45231</v>
      </c>
      <c r="C156" s="1" t="n">
        <v>46201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26591-2025</t>
        </is>
      </c>
      <c r="B157" s="1" t="n">
        <v>45807</v>
      </c>
      <c r="C157" s="1" t="n">
        <v>46201</v>
      </c>
      <c r="D157" t="inlineStr">
        <is>
          <t>SKÅNE LÄN</t>
        </is>
      </c>
      <c r="E157" t="inlineStr">
        <is>
          <t>HÖÖR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44728-2024</t>
        </is>
      </c>
      <c r="B158" s="1" t="n">
        <v>45574</v>
      </c>
      <c r="C158" s="1" t="n">
        <v>46201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26033-2022</t>
        </is>
      </c>
      <c r="B159" s="1" t="n">
        <v>44734</v>
      </c>
      <c r="C159" s="1" t="n">
        <v>46201</v>
      </c>
      <c r="D159" t="inlineStr">
        <is>
          <t>SKÅNE LÄN</t>
        </is>
      </c>
      <c r="E159" t="inlineStr">
        <is>
          <t>HÖÖR</t>
        </is>
      </c>
      <c r="F159" t="inlineStr">
        <is>
          <t>Övriga statliga verk och myndigheter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15657-2025</t>
        </is>
      </c>
      <c r="B160" s="1" t="n">
        <v>45748</v>
      </c>
      <c r="C160" s="1" t="n">
        <v>46201</v>
      </c>
      <c r="D160" t="inlineStr">
        <is>
          <t>SKÅNE LÄN</t>
        </is>
      </c>
      <c r="E160" t="inlineStr">
        <is>
          <t>HÖÖR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26251-2025</t>
        </is>
      </c>
      <c r="B161" s="1" t="n">
        <v>45805</v>
      </c>
      <c r="C161" s="1" t="n">
        <v>46201</v>
      </c>
      <c r="D161" t="inlineStr">
        <is>
          <t>SKÅNE LÄN</t>
        </is>
      </c>
      <c r="E161" t="inlineStr">
        <is>
          <t>HÖÖR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54798-2023</t>
        </is>
      </c>
      <c r="B162" s="1" t="n">
        <v>45236</v>
      </c>
      <c r="C162" s="1" t="n">
        <v>46201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50330-2023</t>
        </is>
      </c>
      <c r="B163" s="1" t="n">
        <v>45216</v>
      </c>
      <c r="C163" s="1" t="n">
        <v>46201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50332-2023</t>
        </is>
      </c>
      <c r="B164" s="1" t="n">
        <v>45216</v>
      </c>
      <c r="C164" s="1" t="n">
        <v>46201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</v>
      </c>
      <c r="C165" s="1" t="n">
        <v>46201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28335-2024</t>
        </is>
      </c>
      <c r="B166" s="1" t="n">
        <v>45477</v>
      </c>
      <c r="C166" s="1" t="n">
        <v>46201</v>
      </c>
      <c r="D166" t="inlineStr">
        <is>
          <t>SKÅNE LÄN</t>
        </is>
      </c>
      <c r="E166" t="inlineStr">
        <is>
          <t>HÖÖR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43469-2024</t>
        </is>
      </c>
      <c r="B167" s="1" t="n">
        <v>45568</v>
      </c>
      <c r="C167" s="1" t="n">
        <v>46201</v>
      </c>
      <c r="D167" t="inlineStr">
        <is>
          <t>SKÅNE LÄN</t>
        </is>
      </c>
      <c r="E167" t="inlineStr">
        <is>
          <t>HÖÖR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73544-2021</t>
        </is>
      </c>
      <c r="B168" s="1" t="n">
        <v>44551</v>
      </c>
      <c r="C168" s="1" t="n">
        <v>46201</v>
      </c>
      <c r="D168" t="inlineStr">
        <is>
          <t>SKÅNE LÄN</t>
        </is>
      </c>
      <c r="E168" t="inlineStr">
        <is>
          <t>HÖÖR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34704-2024</t>
        </is>
      </c>
      <c r="B169" s="1" t="n">
        <v>45526</v>
      </c>
      <c r="C169" s="1" t="n">
        <v>46201</v>
      </c>
      <c r="D169" t="inlineStr">
        <is>
          <t>SKÅNE LÄN</t>
        </is>
      </c>
      <c r="E169" t="inlineStr">
        <is>
          <t>HÖÖR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49745-2025</t>
        </is>
      </c>
      <c r="B170" s="1" t="n">
        <v>45940</v>
      </c>
      <c r="C170" s="1" t="n">
        <v>46201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49780-2025</t>
        </is>
      </c>
      <c r="B171" s="1" t="n">
        <v>45940</v>
      </c>
      <c r="C171" s="1" t="n">
        <v>46201</v>
      </c>
      <c r="D171" t="inlineStr">
        <is>
          <t>SKÅNE LÄN</t>
        </is>
      </c>
      <c r="E171" t="inlineStr">
        <is>
          <t>HÖÖR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40083-2025</t>
        </is>
      </c>
      <c r="B172" s="1" t="n">
        <v>45894</v>
      </c>
      <c r="C172" s="1" t="n">
        <v>46201</v>
      </c>
      <c r="D172" t="inlineStr">
        <is>
          <t>SKÅNE LÄN</t>
        </is>
      </c>
      <c r="E172" t="inlineStr">
        <is>
          <t>HÖÖR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40090-2025</t>
        </is>
      </c>
      <c r="B173" s="1" t="n">
        <v>45894</v>
      </c>
      <c r="C173" s="1" t="n">
        <v>46201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12833-2023</t>
        </is>
      </c>
      <c r="B174" s="1" t="n">
        <v>45001</v>
      </c>
      <c r="C174" s="1" t="n">
        <v>46201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51235-2025</t>
        </is>
      </c>
      <c r="B175" s="1" t="n">
        <v>45947</v>
      </c>
      <c r="C175" s="1" t="n">
        <v>46201</v>
      </c>
      <c r="D175" t="inlineStr">
        <is>
          <t>SKÅNE LÄN</t>
        </is>
      </c>
      <c r="E175" t="inlineStr">
        <is>
          <t>HÖÖR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50250-2024</t>
        </is>
      </c>
      <c r="B176" s="1" t="n">
        <v>45600</v>
      </c>
      <c r="C176" s="1" t="n">
        <v>46201</v>
      </c>
      <c r="D176" t="inlineStr">
        <is>
          <t>SKÅNE LÄN</t>
        </is>
      </c>
      <c r="E176" t="inlineStr">
        <is>
          <t>HÖÖR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9466-2025</t>
        </is>
      </c>
      <c r="B177" s="1" t="n">
        <v>45715</v>
      </c>
      <c r="C177" s="1" t="n">
        <v>46201</v>
      </c>
      <c r="D177" t="inlineStr">
        <is>
          <t>SKÅNE LÄN</t>
        </is>
      </c>
      <c r="E177" t="inlineStr">
        <is>
          <t>HÖÖR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37082-2024</t>
        </is>
      </c>
      <c r="B178" s="1" t="n">
        <v>45539</v>
      </c>
      <c r="C178" s="1" t="n">
        <v>46201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12028-2025</t>
        </is>
      </c>
      <c r="B179" s="1" t="n">
        <v>45728</v>
      </c>
      <c r="C179" s="1" t="n">
        <v>46201</v>
      </c>
      <c r="D179" t="inlineStr">
        <is>
          <t>SKÅNE LÄN</t>
        </is>
      </c>
      <c r="E179" t="inlineStr">
        <is>
          <t>HÖÖR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23116-2025</t>
        </is>
      </c>
      <c r="B180" s="1" t="n">
        <v>45791</v>
      </c>
      <c r="C180" s="1" t="n">
        <v>46201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61019-2024</t>
        </is>
      </c>
      <c r="B181" s="1" t="n">
        <v>45645</v>
      </c>
      <c r="C181" s="1" t="n">
        <v>46201</v>
      </c>
      <c r="D181" t="inlineStr">
        <is>
          <t>SKÅNE LÄN</t>
        </is>
      </c>
      <c r="E181" t="inlineStr">
        <is>
          <t>HÖÖR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27251-2024</t>
        </is>
      </c>
      <c r="B182" s="1" t="n">
        <v>45471</v>
      </c>
      <c r="C182" s="1" t="n">
        <v>46201</v>
      </c>
      <c r="D182" t="inlineStr">
        <is>
          <t>SKÅNE LÄN</t>
        </is>
      </c>
      <c r="E182" t="inlineStr">
        <is>
          <t>HÖÖR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30730-2025</t>
        </is>
      </c>
      <c r="B183" s="1" t="n">
        <v>45831</v>
      </c>
      <c r="C183" s="1" t="n">
        <v>46201</v>
      </c>
      <c r="D183" t="inlineStr">
        <is>
          <t>SKÅNE LÄN</t>
        </is>
      </c>
      <c r="E183" t="inlineStr">
        <is>
          <t>HÖÖR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48921-2024</t>
        </is>
      </c>
      <c r="B184" s="1" t="n">
        <v>45594</v>
      </c>
      <c r="C184" s="1" t="n">
        <v>46201</v>
      </c>
      <c r="D184" t="inlineStr">
        <is>
          <t>SKÅNE LÄN</t>
        </is>
      </c>
      <c r="E184" t="inlineStr">
        <is>
          <t>HÖÖR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45164-2025</t>
        </is>
      </c>
      <c r="B185" s="1" t="n">
        <v>45919</v>
      </c>
      <c r="C185" s="1" t="n">
        <v>46201</v>
      </c>
      <c r="D185" t="inlineStr">
        <is>
          <t>SKÅNE LÄN</t>
        </is>
      </c>
      <c r="E185" t="inlineStr">
        <is>
          <t>HÖÖR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55347-2025</t>
        </is>
      </c>
      <c r="B186" s="1" t="n">
        <v>45971</v>
      </c>
      <c r="C186" s="1" t="n">
        <v>46201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48909-2024</t>
        </is>
      </c>
      <c r="B187" s="1" t="n">
        <v>45594</v>
      </c>
      <c r="C187" s="1" t="n">
        <v>46201</v>
      </c>
      <c r="D187" t="inlineStr">
        <is>
          <t>SKÅNE LÄN</t>
        </is>
      </c>
      <c r="E187" t="inlineStr">
        <is>
          <t>HÖÖR</t>
        </is>
      </c>
      <c r="G187" t="n">
        <v>28.4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56304-2025</t>
        </is>
      </c>
      <c r="B188" s="1" t="n">
        <v>45974</v>
      </c>
      <c r="C188" s="1" t="n">
        <v>46201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56307-2025</t>
        </is>
      </c>
      <c r="B189" s="1" t="n">
        <v>45974</v>
      </c>
      <c r="C189" s="1" t="n">
        <v>46201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52281-2024</t>
        </is>
      </c>
      <c r="B190" s="1" t="n">
        <v>45608</v>
      </c>
      <c r="C190" s="1" t="n">
        <v>46201</v>
      </c>
      <c r="D190" t="inlineStr">
        <is>
          <t>SKÅNE LÄN</t>
        </is>
      </c>
      <c r="E190" t="inlineStr">
        <is>
          <t>HÖÖR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57982-2025</t>
        </is>
      </c>
      <c r="B191" s="1" t="n">
        <v>45982</v>
      </c>
      <c r="C191" s="1" t="n">
        <v>46201</v>
      </c>
      <c r="D191" t="inlineStr">
        <is>
          <t>SKÅNE LÄN</t>
        </is>
      </c>
      <c r="E191" t="inlineStr">
        <is>
          <t>HÖÖR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51131-2021</t>
        </is>
      </c>
      <c r="B192" s="1" t="n">
        <v>44461</v>
      </c>
      <c r="C192" s="1" t="n">
        <v>46201</v>
      </c>
      <c r="D192" t="inlineStr">
        <is>
          <t>SKÅNE LÄN</t>
        </is>
      </c>
      <c r="E192" t="inlineStr">
        <is>
          <t>HÖÖR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60425-2022</t>
        </is>
      </c>
      <c r="B193" s="1" t="n">
        <v>44911</v>
      </c>
      <c r="C193" s="1" t="n">
        <v>46201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61087-2022</t>
        </is>
      </c>
      <c r="B194" s="1" t="n">
        <v>44915</v>
      </c>
      <c r="C194" s="1" t="n">
        <v>46201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25749-2025</t>
        </is>
      </c>
      <c r="B195" s="1" t="n">
        <v>45804</v>
      </c>
      <c r="C195" s="1" t="n">
        <v>46201</v>
      </c>
      <c r="D195" t="inlineStr">
        <is>
          <t>SKÅNE LÄN</t>
        </is>
      </c>
      <c r="E195" t="inlineStr">
        <is>
          <t>HÖÖR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61169-2025</t>
        </is>
      </c>
      <c r="B196" s="1" t="n">
        <v>46000</v>
      </c>
      <c r="C196" s="1" t="n">
        <v>46201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61175-2025</t>
        </is>
      </c>
      <c r="B197" s="1" t="n">
        <v>46000</v>
      </c>
      <c r="C197" s="1" t="n">
        <v>46201</v>
      </c>
      <c r="D197" t="inlineStr">
        <is>
          <t>SKÅNE LÄN</t>
        </is>
      </c>
      <c r="E197" t="inlineStr">
        <is>
          <t>HÖÖR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38813-2025</t>
        </is>
      </c>
      <c r="B198" s="1" t="n">
        <v>45887</v>
      </c>
      <c r="C198" s="1" t="n">
        <v>46201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19629-2025</t>
        </is>
      </c>
      <c r="B199" s="1" t="n">
        <v>45770</v>
      </c>
      <c r="C199" s="1" t="n">
        <v>46201</v>
      </c>
      <c r="D199" t="inlineStr">
        <is>
          <t>SKÅNE LÄN</t>
        </is>
      </c>
      <c r="E199" t="inlineStr">
        <is>
          <t>HÖÖR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50513-2025</t>
        </is>
      </c>
      <c r="B200" s="1" t="n">
        <v>45945</v>
      </c>
      <c r="C200" s="1" t="n">
        <v>46201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56941-2025</t>
        </is>
      </c>
      <c r="B201" s="1" t="n">
        <v>45978</v>
      </c>
      <c r="C201" s="1" t="n">
        <v>46201</v>
      </c>
      <c r="D201" t="inlineStr">
        <is>
          <t>SKÅNE LÄN</t>
        </is>
      </c>
      <c r="E201" t="inlineStr">
        <is>
          <t>HÖÖR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3-2026</t>
        </is>
      </c>
      <c r="B202" s="1" t="n">
        <v>46023</v>
      </c>
      <c r="C202" s="1" t="n">
        <v>46201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11-2026</t>
        </is>
      </c>
      <c r="B203" s="1" t="n">
        <v>46023</v>
      </c>
      <c r="C203" s="1" t="n">
        <v>46201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51232-2025</t>
        </is>
      </c>
      <c r="B204" s="1" t="n">
        <v>45947</v>
      </c>
      <c r="C204" s="1" t="n">
        <v>46201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3182-2026</t>
        </is>
      </c>
      <c r="B205" s="1" t="n">
        <v>46041</v>
      </c>
      <c r="C205" s="1" t="n">
        <v>46201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2852-2026</t>
        </is>
      </c>
      <c r="B206" s="1" t="n">
        <v>46038</v>
      </c>
      <c r="C206" s="1" t="n">
        <v>46201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50553-2025</t>
        </is>
      </c>
      <c r="B207" s="1" t="n">
        <v>45945</v>
      </c>
      <c r="C207" s="1" t="n">
        <v>46201</v>
      </c>
      <c r="D207" t="inlineStr">
        <is>
          <t>SKÅNE LÄN</t>
        </is>
      </c>
      <c r="E207" t="inlineStr">
        <is>
          <t>HÖÖR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8290-2026</t>
        </is>
      </c>
      <c r="B208" s="1" t="n">
        <v>46064</v>
      </c>
      <c r="C208" s="1" t="n">
        <v>46201</v>
      </c>
      <c r="D208" t="inlineStr">
        <is>
          <t>SKÅNE LÄN</t>
        </is>
      </c>
      <c r="E208" t="inlineStr">
        <is>
          <t>HÖÖR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8296-2026</t>
        </is>
      </c>
      <c r="B209" s="1" t="n">
        <v>46064</v>
      </c>
      <c r="C209" s="1" t="n">
        <v>46201</v>
      </c>
      <c r="D209" t="inlineStr">
        <is>
          <t>SKÅNE LÄN</t>
        </is>
      </c>
      <c r="E209" t="inlineStr">
        <is>
          <t>HÖÖR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58807-2025</t>
        </is>
      </c>
      <c r="B210" s="1" t="n">
        <v>45987</v>
      </c>
      <c r="C210" s="1" t="n">
        <v>46201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13832-2026</t>
        </is>
      </c>
      <c r="B211" s="1" t="n">
        <v>46098</v>
      </c>
      <c r="C211" s="1" t="n">
        <v>46201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22966-2026</t>
        </is>
      </c>
      <c r="B212" s="1" t="n">
        <v>46160</v>
      </c>
      <c r="C212" s="1" t="n">
        <v>46201</v>
      </c>
      <c r="D212" t="inlineStr">
        <is>
          <t>SKÅNE LÄN</t>
        </is>
      </c>
      <c r="E212" t="inlineStr">
        <is>
          <t>HÖÖR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22964-2026</t>
        </is>
      </c>
      <c r="B213" s="1" t="n">
        <v>46160</v>
      </c>
      <c r="C213" s="1" t="n">
        <v>46201</v>
      </c>
      <c r="D213" t="inlineStr">
        <is>
          <t>SKÅNE LÄN</t>
        </is>
      </c>
      <c r="E213" t="inlineStr">
        <is>
          <t>HÖÖR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18696-2026</t>
        </is>
      </c>
      <c r="B214" s="1" t="n">
        <v>46128</v>
      </c>
      <c r="C214" s="1" t="n">
        <v>46201</v>
      </c>
      <c r="D214" t="inlineStr">
        <is>
          <t>SKÅNE LÄN</t>
        </is>
      </c>
      <c r="E214" t="inlineStr">
        <is>
          <t>HÖÖR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17693-2026</t>
        </is>
      </c>
      <c r="B215" s="1" t="n">
        <v>46121</v>
      </c>
      <c r="C215" s="1" t="n">
        <v>46201</v>
      </c>
      <c r="D215" t="inlineStr">
        <is>
          <t>SKÅNE LÄN</t>
        </is>
      </c>
      <c r="E215" t="inlineStr">
        <is>
          <t>HÖÖR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20329-2026</t>
        </is>
      </c>
      <c r="B216" s="1" t="n">
        <v>46136</v>
      </c>
      <c r="C216" s="1" t="n">
        <v>46201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20329-2026</t>
        </is>
      </c>
      <c r="B217" s="1" t="n">
        <v>46136</v>
      </c>
      <c r="C217" s="1" t="n">
        <v>46201</v>
      </c>
      <c r="D217" t="inlineStr">
        <is>
          <t>SKÅNE LÄN</t>
        </is>
      </c>
      <c r="E217" t="inlineStr">
        <is>
          <t>HÖÖR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8305-2026</t>
        </is>
      </c>
      <c r="B218" s="1" t="n">
        <v>46064</v>
      </c>
      <c r="C218" s="1" t="n">
        <v>46201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62944-2025</t>
        </is>
      </c>
      <c r="B219" s="1" t="n">
        <v>46009</v>
      </c>
      <c r="C219" s="1" t="n">
        <v>46201</v>
      </c>
      <c r="D219" t="inlineStr">
        <is>
          <t>SKÅNE LÄN</t>
        </is>
      </c>
      <c r="E219" t="inlineStr">
        <is>
          <t>HÖÖR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25559-2026</t>
        </is>
      </c>
      <c r="B220" s="1" t="n">
        <v>46177</v>
      </c>
      <c r="C220" s="1" t="n">
        <v>46201</v>
      </c>
      <c r="D220" t="inlineStr">
        <is>
          <t>SKÅNE LÄN</t>
        </is>
      </c>
      <c r="E220" t="inlineStr">
        <is>
          <t>HÖÖR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21229-2026</t>
        </is>
      </c>
      <c r="B221" s="1" t="n">
        <v>46146</v>
      </c>
      <c r="C221" s="1" t="n">
        <v>46201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27723-2026</t>
        </is>
      </c>
      <c r="B222" s="1" t="n">
        <v>46191</v>
      </c>
      <c r="C222" s="1" t="n">
        <v>46201</v>
      </c>
      <c r="D222" t="inlineStr">
        <is>
          <t>SKÅNE LÄN</t>
        </is>
      </c>
      <c r="E222" t="inlineStr">
        <is>
          <t>HÖÖR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22514-2026</t>
        </is>
      </c>
      <c r="B223" s="1" t="n">
        <v>46155</v>
      </c>
      <c r="C223" s="1" t="n">
        <v>46201</v>
      </c>
      <c r="D223" t="inlineStr">
        <is>
          <t>SKÅNE LÄN</t>
        </is>
      </c>
      <c r="E223" t="inlineStr">
        <is>
          <t>HÖÖR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27368-2026</t>
        </is>
      </c>
      <c r="B224" s="1" t="n">
        <v>46184</v>
      </c>
      <c r="C224" s="1" t="n">
        <v>46201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28597-2026</t>
        </is>
      </c>
      <c r="B225" s="1" t="n">
        <v>46197</v>
      </c>
      <c r="C225" s="1" t="n">
        <v>46201</v>
      </c>
      <c r="D225" t="inlineStr">
        <is>
          <t>SKÅNE LÄN</t>
        </is>
      </c>
      <c r="E225" t="inlineStr">
        <is>
          <t>HÖÖR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28223-2026</t>
        </is>
      </c>
      <c r="B226" s="1" t="n">
        <v>46196</v>
      </c>
      <c r="C226" s="1" t="n">
        <v>46201</v>
      </c>
      <c r="D226" t="inlineStr">
        <is>
          <t>SKÅNE LÄN</t>
        </is>
      </c>
      <c r="E226" t="inlineStr">
        <is>
          <t>HÖÖR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28849-2026</t>
        </is>
      </c>
      <c r="B227" s="1" t="n">
        <v>46198</v>
      </c>
      <c r="C227" s="1" t="n">
        <v>46201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25795-2026</t>
        </is>
      </c>
      <c r="B228" s="1" t="n">
        <v>46178</v>
      </c>
      <c r="C228" s="1" t="n">
        <v>46201</v>
      </c>
      <c r="D228" t="inlineStr">
        <is>
          <t>SKÅNE LÄN</t>
        </is>
      </c>
      <c r="E228" t="inlineStr">
        <is>
          <t>HÖÖR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2026-06-28T00:54:50Z</dcterms:created>
  <dcterms:modified xmlns:dcterms="http://purl.org/dc/terms/" xmlns:xsi="http://www.w3.org/2001/XMLSchema-instance" xsi:type="dcterms:W3CDTF">2026-06-28T00:54:51Z</dcterms:modified>
</cp:coreProperties>
</file>