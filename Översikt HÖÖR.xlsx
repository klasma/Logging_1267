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46235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46235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46235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46235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46235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46235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46235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46235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24597-2026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46170</v>
      </c>
      <c r="E22" s="1" t="n">
        <v>46235</v>
      </c>
      <c r="F22" t="inlineStr">
        <is>
          <t>SKÅNE LÄN</t>
        </is>
      </c>
      <c r="G22" t="inlineStr">
        <is>
          <t>HÖÖR</t>
        </is>
      </c>
      <c r="I22" t="n">
        <v>5.9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Entita
Grönsångare</t>
        </is>
      </c>
      <c r="W22">
        <f>HYPERLINK("https://klasma.github.io/Logging_1267/artfynd/A 24597-2026 artfynd.xlsx", "A 24597-2026")</f>
        <v/>
      </c>
      <c r="X22">
        <f>HYPERLINK("https://klasma.github.io/Logging_1267/kartor/A 24597-2026 karta.png", "A 24597-2026")</f>
        <v/>
      </c>
      <c r="Y22">
        <f>HYPERLINK("https://klasma.github.io/Logging_1267/kartor_geotiff/A 24597-2026 georefererad karta.tif", "A 24597-2026")</f>
        <v/>
      </c>
      <c r="AA22">
        <f>HYPERLINK("https://klasma.github.io/Logging_1267/klagomål/A 24597-2026 FSC-klagomål.docx", "A 24597-2026")</f>
        <v/>
      </c>
      <c r="AB22">
        <f>HYPERLINK("https://klasma.github.io/Logging_1267/klagomålsmail/A 24597-2026 FSC-klagomål mail.docx", "A 24597-2026")</f>
        <v/>
      </c>
      <c r="AC22">
        <f>HYPERLINK("https://klasma.github.io/Logging_1267/tillsyn/A 24597-2026 tillsynsbegäran.docx", "A 24597-2026")</f>
        <v/>
      </c>
      <c r="AD22">
        <f>HYPERLINK("https://klasma.github.io/Logging_1267/tillsynsmail/A 24597-2026 tillsynsbegäran mail.docx", "A 24597-2026")</f>
        <v/>
      </c>
      <c r="AE22">
        <f>HYPERLINK("https://klasma.github.io/Logging_1267/fåglar/A 24597-2026 prioriterade fågelarter.docx", "A 24597-2026")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46235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46235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46235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46235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46235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46235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46235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54753-2022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46235</v>
      </c>
      <c r="F30" t="inlineStr">
        <is>
          <t>SKÅNE LÄN</t>
        </is>
      </c>
      <c r="G30" t="inlineStr">
        <is>
          <t>HÖÖR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HYPERLINK("https://klasma.github.io/Logging_1267/artfynd/A 54753-2022 artfynd.xlsx", "A 54753-2022")</f>
        <v/>
      </c>
      <c r="X30">
        <f>HYPERLINK("https://klasma.github.io/Logging_1267/kartor/A 54753-2022 karta.png", "A 54753-2022")</f>
        <v/>
      </c>
      <c r="Y30">
        <f>HYPERLINK("https://klasma.github.io/Logging_1267/kartor_geotiff/A 54753-2022 georefererad karta.tif", "A 54753-2022")</f>
        <v/>
      </c>
      <c r="AA30">
        <f>HYPERLINK("https://klasma.github.io/Logging_1267/klagomål/A 54753-2022 FSC-klagomål.docx", "A 54753-2022")</f>
        <v/>
      </c>
      <c r="AB30">
        <f>HYPERLINK("https://klasma.github.io/Logging_1267/klagomålsmail/A 54753-2022 FSC-klagomål mail.docx", "A 54753-2022")</f>
        <v/>
      </c>
      <c r="AC30">
        <f>HYPERLINK("https://klasma.github.io/Logging_1267/tillsyn/A 54753-2022 tillsynsbegäran.docx", "A 54753-2022")</f>
        <v/>
      </c>
      <c r="AD30">
        <f>HYPERLINK("https://klasma.github.io/Logging_1267/tillsynsmail/A 54753-2022 tillsynsbegäran mail.docx", "A 54753-2022")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46235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46235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46235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46235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46235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42053-2023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45174</v>
      </c>
      <c r="E36" s="1" t="n">
        <v>46235</v>
      </c>
      <c r="F36" t="inlineStr">
        <is>
          <t>SKÅNE LÄN</t>
        </is>
      </c>
      <c r="G36" t="inlineStr">
        <is>
          <t>HÖÖR</t>
        </is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HYPERLINK("https://klasma.github.io/Logging_1267/artfynd/A 42053-2023 artfynd.xlsx", "A 42053-2023")</f>
        <v/>
      </c>
      <c r="X36">
        <f>HYPERLINK("https://klasma.github.io/Logging_1267/kartor/A 42053-2023 karta.png", "A 42053-2023")</f>
        <v/>
      </c>
      <c r="Y36">
        <f>HYPERLINK("https://klasma.github.io/Logging_1267/kartor_geotiff/A 42053-2023 georefererad karta.tif", "A 42053-2023")</f>
        <v/>
      </c>
      <c r="AA36">
        <f>HYPERLINK("https://klasma.github.io/Logging_1267/klagomål/A 42053-2023 FSC-klagomål.docx", "A 42053-2023")</f>
        <v/>
      </c>
      <c r="AB36">
        <f>HYPERLINK("https://klasma.github.io/Logging_1267/klagomålsmail/A 42053-2023 FSC-klagomål mail.docx", "A 42053-2023")</f>
        <v/>
      </c>
      <c r="AC36">
        <f>HYPERLINK("https://klasma.github.io/Logging_1267/tillsyn/A 42053-2023 tillsynsbegäran.docx", "A 42053-2023")</f>
        <v/>
      </c>
      <c r="AD36">
        <f>HYPERLINK("https://klasma.github.io/Logging_1267/tillsynsmail/A 42053-2023 tillsynsbegäran mail.docx", "A 42053-2023")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46235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46235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46235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46235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46235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46235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46235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46235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46235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46235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46235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46235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46235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46235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46235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46235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46235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46235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46235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46235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46235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46235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45323</v>
      </c>
      <c r="E59" s="1" t="n">
        <v>46235</v>
      </c>
      <c r="F59" t="inlineStr">
        <is>
          <t>SKÅNE LÄN</t>
        </is>
      </c>
      <c r="G59" t="inlineStr">
        <is>
          <t>HÖÖR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44848</v>
      </c>
      <c r="E60" s="1" t="n">
        <v>46235</v>
      </c>
      <c r="F60" t="inlineStr">
        <is>
          <t>SKÅNE LÄN</t>
        </is>
      </c>
      <c r="G60" t="inlineStr">
        <is>
          <t>HÖÖR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46235</v>
      </c>
      <c r="F61" t="inlineStr">
        <is>
          <t>SKÅNE LÄN</t>
        </is>
      </c>
      <c r="G61" t="inlineStr">
        <is>
          <t>HÖÖR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46235</v>
      </c>
      <c r="F62" t="inlineStr">
        <is>
          <t>SKÅNE LÄN</t>
        </is>
      </c>
      <c r="G62" t="inlineStr">
        <is>
          <t>HÖÖR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65203-2021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44515</v>
      </c>
      <c r="E63" s="1" t="n">
        <v>46235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46235</v>
      </c>
      <c r="F64" t="inlineStr">
        <is>
          <t>SKÅNE LÄN</t>
        </is>
      </c>
      <c r="G64" t="inlineStr">
        <is>
          <t>HÖÖR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46235</v>
      </c>
      <c r="F65" t="inlineStr">
        <is>
          <t>SKÅNE LÄN</t>
        </is>
      </c>
      <c r="G65" t="inlineStr">
        <is>
          <t>HÖÖR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46235</v>
      </c>
      <c r="F66" t="inlineStr">
        <is>
          <t>SKÅNE LÄN</t>
        </is>
      </c>
      <c r="G66" t="inlineStr">
        <is>
          <t>HÖÖR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46235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45236</v>
      </c>
      <c r="E68" s="1" t="n">
        <v>46235</v>
      </c>
      <c r="F68" t="inlineStr">
        <is>
          <t>SKÅNE LÄN</t>
        </is>
      </c>
      <c r="G68" t="inlineStr">
        <is>
          <t>HÖÖR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46235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46235</v>
      </c>
      <c r="F70" t="inlineStr">
        <is>
          <t>SKÅNE LÄN</t>
        </is>
      </c>
      <c r="G70" t="inlineStr">
        <is>
          <t>HÖÖR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44908</v>
      </c>
      <c r="E71" s="1" t="n">
        <v>46235</v>
      </c>
      <c r="F71" t="inlineStr">
        <is>
          <t>SKÅNE LÄN</t>
        </is>
      </c>
      <c r="G71" t="inlineStr">
        <is>
          <t>HÖÖR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31092-2023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45113</v>
      </c>
      <c r="E72" s="1" t="n">
        <v>46235</v>
      </c>
      <c r="F72" t="inlineStr">
        <is>
          <t>SKÅNE LÄN</t>
        </is>
      </c>
      <c r="G72" t="inlineStr">
        <is>
          <t>HÖÖR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45342</v>
      </c>
      <c r="E73" s="1" t="n">
        <v>46235</v>
      </c>
      <c r="F73" t="inlineStr">
        <is>
          <t>SKÅNE LÄN</t>
        </is>
      </c>
      <c r="G73" t="inlineStr">
        <is>
          <t>HÖÖR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46235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50196-2022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46235</v>
      </c>
      <c r="F75" t="inlineStr">
        <is>
          <t>SKÅNE LÄN</t>
        </is>
      </c>
      <c r="G75" t="inlineStr">
        <is>
          <t>HÖÖR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46235</v>
      </c>
      <c r="F76" t="inlineStr">
        <is>
          <t>SKÅNE LÄN</t>
        </is>
      </c>
      <c r="G76" t="inlineStr">
        <is>
          <t>HÖÖR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46235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46235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46235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46235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46235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46235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46235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46235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46235</v>
      </c>
      <c r="F85" t="inlineStr">
        <is>
          <t>SKÅNE LÄN</t>
        </is>
      </c>
      <c r="G85" t="inlineStr">
        <is>
          <t>HÖÖR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46235</v>
      </c>
      <c r="F86" t="inlineStr">
        <is>
          <t>SKÅNE LÄN</t>
        </is>
      </c>
      <c r="G86" t="inlineStr">
        <is>
          <t>HÖÖR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46235</v>
      </c>
      <c r="F87" t="inlineStr">
        <is>
          <t>SKÅNE LÄN</t>
        </is>
      </c>
      <c r="G87" t="inlineStr">
        <is>
          <t>HÖÖR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46235</v>
      </c>
      <c r="F88" t="inlineStr">
        <is>
          <t>SKÅNE LÄN</t>
        </is>
      </c>
      <c r="G88" t="inlineStr">
        <is>
          <t>HÖÖR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46235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44970</v>
      </c>
      <c r="E90" s="1" t="n">
        <v>46235</v>
      </c>
      <c r="F90" t="inlineStr">
        <is>
          <t>SKÅNE LÄN</t>
        </is>
      </c>
      <c r="G90" t="inlineStr">
        <is>
          <t>HÖÖR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46235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46235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46235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46235</v>
      </c>
      <c r="F94" t="inlineStr">
        <is>
          <t>SKÅNE LÄN</t>
        </is>
      </c>
      <c r="G94" t="inlineStr">
        <is>
          <t>HÖÖR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44672</v>
      </c>
      <c r="E95" s="1" t="n">
        <v>46235</v>
      </c>
      <c r="F95" t="inlineStr">
        <is>
          <t>SKÅNE LÄN</t>
        </is>
      </c>
      <c r="G95" t="inlineStr">
        <is>
          <t>HÖÖR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46235</v>
      </c>
      <c r="F96" t="inlineStr">
        <is>
          <t>SKÅNE LÄN</t>
        </is>
      </c>
      <c r="G96" t="inlineStr">
        <is>
          <t>HÖÖR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46235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46235</v>
      </c>
      <c r="F98" t="inlineStr">
        <is>
          <t>SKÅNE LÄN</t>
        </is>
      </c>
      <c r="G98" t="inlineStr">
        <is>
          <t>HÖÖR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46235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46235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46235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46235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12855-2023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46235</v>
      </c>
      <c r="F103" t="inlineStr">
        <is>
          <t>SKÅNE LÄN</t>
        </is>
      </c>
      <c r="G103" t="inlineStr">
        <is>
          <t>HÖÖR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46235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46235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46235</v>
      </c>
      <c r="F106" t="inlineStr">
        <is>
          <t>SKÅNE LÄN</t>
        </is>
      </c>
      <c r="G106" t="inlineStr">
        <is>
          <t>HÖÖR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46184</v>
      </c>
      <c r="E107" s="1" t="n">
        <v>46235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46235</v>
      </c>
      <c r="F108" t="inlineStr">
        <is>
          <t>SKÅNE LÄN</t>
        </is>
      </c>
      <c r="G108" t="inlineStr">
        <is>
          <t>HÖÖR</t>
        </is>
      </c>
      <c r="H108" t="inlineStr">
        <is>
          <t>Övriga statliga verk och myndigheter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46235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46235</v>
      </c>
      <c r="F110" t="inlineStr">
        <is>
          <t>SKÅNE LÄN</t>
        </is>
      </c>
      <c r="G110" t="inlineStr">
        <is>
          <t>HÖÖR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45526</v>
      </c>
      <c r="E111" s="1" t="n">
        <v>46235</v>
      </c>
      <c r="F111" t="inlineStr">
        <is>
          <t>SKÅNE LÄN</t>
        </is>
      </c>
      <c r="G111" t="inlineStr">
        <is>
          <t>HÖÖR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46235</v>
      </c>
      <c r="F112" t="inlineStr">
        <is>
          <t>SKÅNE LÄN</t>
        </is>
      </c>
      <c r="G112" t="inlineStr">
        <is>
          <t>HÖÖR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46235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46235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46235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46160</v>
      </c>
      <c r="E116" s="1" t="n">
        <v>46235</v>
      </c>
      <c r="F116" t="inlineStr">
        <is>
          <t>SKÅNE LÄN</t>
        </is>
      </c>
      <c r="G116" t="inlineStr">
        <is>
          <t>HÖÖR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46160</v>
      </c>
      <c r="E117" s="1" t="n">
        <v>46235</v>
      </c>
      <c r="F117" t="inlineStr">
        <is>
          <t>SKÅNE LÄN</t>
        </is>
      </c>
      <c r="G117" t="inlineStr">
        <is>
          <t>HÖÖR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46235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46235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46235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46235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46235</v>
      </c>
      <c r="F122" t="inlineStr">
        <is>
          <t>SKÅNE LÄN</t>
        </is>
      </c>
      <c r="G122" t="inlineStr">
        <is>
          <t>HÖÖR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45338</v>
      </c>
      <c r="E123" s="1" t="n">
        <v>46235</v>
      </c>
      <c r="F123" t="inlineStr">
        <is>
          <t>SKÅNE LÄN</t>
        </is>
      </c>
      <c r="G123" t="inlineStr">
        <is>
          <t>HÖÖR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46235</v>
      </c>
      <c r="F124" t="inlineStr">
        <is>
          <t>SKÅNE LÄN</t>
        </is>
      </c>
      <c r="G124" t="inlineStr">
        <is>
          <t>HÖÖR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65200-2021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44515</v>
      </c>
      <c r="E125" s="1" t="n">
        <v>46235</v>
      </c>
      <c r="F125" t="inlineStr">
        <is>
          <t>SKÅNE LÄN</t>
        </is>
      </c>
      <c r="G125" t="inlineStr">
        <is>
          <t>HÖÖR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46235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46235</v>
      </c>
      <c r="F127" t="inlineStr">
        <is>
          <t>SKÅNE LÄN</t>
        </is>
      </c>
      <c r="G127" t="inlineStr">
        <is>
          <t>HÖÖR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16110-2024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45406</v>
      </c>
      <c r="E128" s="1" t="n">
        <v>46235</v>
      </c>
      <c r="F128" t="inlineStr">
        <is>
          <t>SKÅNE LÄN</t>
        </is>
      </c>
      <c r="G128" t="inlineStr">
        <is>
          <t>HÖÖR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46235</v>
      </c>
      <c r="F129" t="inlineStr">
        <is>
          <t>SKÅNE LÄN</t>
        </is>
      </c>
      <c r="G129" t="inlineStr">
        <is>
          <t>HÖÖR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46235</v>
      </c>
      <c r="F130" t="inlineStr">
        <is>
          <t>SKÅNE LÄN</t>
        </is>
      </c>
      <c r="G130" t="inlineStr">
        <is>
          <t>HÖÖR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46235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46235</v>
      </c>
      <c r="F132" t="inlineStr">
        <is>
          <t>SKÅNE LÄN</t>
        </is>
      </c>
      <c r="G132" t="inlineStr">
        <is>
          <t>HÖÖR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46209</v>
      </c>
      <c r="E133" s="1" t="n">
        <v>46235</v>
      </c>
      <c r="F133" t="inlineStr">
        <is>
          <t>SKÅNE LÄN</t>
        </is>
      </c>
      <c r="G133" t="inlineStr">
        <is>
          <t>HÖÖR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46235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46235</v>
      </c>
      <c r="F135" t="inlineStr">
        <is>
          <t>SKÅNE LÄN</t>
        </is>
      </c>
      <c r="G135" t="inlineStr">
        <is>
          <t>HÖÖR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46235</v>
      </c>
      <c r="F136" t="inlineStr">
        <is>
          <t>SKÅNE LÄN</t>
        </is>
      </c>
      <c r="G136" t="inlineStr">
        <is>
          <t>HÖÖR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46235</v>
      </c>
      <c r="F137" t="inlineStr">
        <is>
          <t>SKÅNE LÄN</t>
        </is>
      </c>
      <c r="G137" t="inlineStr">
        <is>
          <t>HÖÖR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46235</v>
      </c>
      <c r="F138" t="inlineStr">
        <is>
          <t>SKÅNE LÄN</t>
        </is>
      </c>
      <c r="G138" t="inlineStr">
        <is>
          <t>HÖÖR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46235</v>
      </c>
      <c r="F139" t="inlineStr">
        <is>
          <t>SKÅNE LÄN</t>
        </is>
      </c>
      <c r="G139" t="inlineStr">
        <is>
          <t>HÖÖR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46235</v>
      </c>
      <c r="F140" t="inlineStr">
        <is>
          <t>SKÅNE LÄN</t>
        </is>
      </c>
      <c r="G140" t="inlineStr">
        <is>
          <t>HÖÖR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46235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46235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56941-2025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45978</v>
      </c>
      <c r="E143" s="1" t="n">
        <v>46235</v>
      </c>
      <c r="F143" t="inlineStr">
        <is>
          <t>SKÅNE LÄN</t>
        </is>
      </c>
      <c r="G143" t="inlineStr">
        <is>
          <t>HÖÖR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46023</v>
      </c>
      <c r="E144" s="1" t="n">
        <v>46235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46023</v>
      </c>
      <c r="E145" s="1" t="n">
        <v>46235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46235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46235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46235</v>
      </c>
      <c r="F148" t="inlineStr">
        <is>
          <t>SKÅNE LÄN</t>
        </is>
      </c>
      <c r="G148" t="inlineStr">
        <is>
          <t>HÖÖR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46235</v>
      </c>
      <c r="F149" t="inlineStr">
        <is>
          <t>SKÅNE LÄN</t>
        </is>
      </c>
      <c r="G149" t="inlineStr">
        <is>
          <t>HÖÖR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46235</v>
      </c>
      <c r="F150" t="inlineStr">
        <is>
          <t>SKÅNE LÄN</t>
        </is>
      </c>
      <c r="G150" t="inlineStr">
        <is>
          <t>HÖÖR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46235</v>
      </c>
      <c r="F151" t="inlineStr">
        <is>
          <t>SKÅNE LÄN</t>
        </is>
      </c>
      <c r="G151" t="inlineStr">
        <is>
          <t>HÖÖR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46235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46235</v>
      </c>
      <c r="F153" t="inlineStr">
        <is>
          <t>SKÅNE LÄN</t>
        </is>
      </c>
      <c r="G153" t="inlineStr">
        <is>
          <t>HÖÖR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46235</v>
      </c>
      <c r="F154" t="inlineStr">
        <is>
          <t>SKÅNE LÄN</t>
        </is>
      </c>
      <c r="G154" t="inlineStr">
        <is>
          <t>HÖÖR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45216</v>
      </c>
      <c r="E155" s="1" t="n">
        <v>46235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46235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46235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46235</v>
      </c>
      <c r="F158" t="inlineStr">
        <is>
          <t>SKÅNE LÄN</t>
        </is>
      </c>
      <c r="G158" t="inlineStr">
        <is>
          <t>HÖÖR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46235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46235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46235</v>
      </c>
      <c r="F161" t="inlineStr">
        <is>
          <t>SKÅNE LÄN</t>
        </is>
      </c>
      <c r="G161" t="inlineStr">
        <is>
          <t>HÖÖR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46235</v>
      </c>
      <c r="F162" t="inlineStr">
        <is>
          <t>SKÅNE LÄN</t>
        </is>
      </c>
      <c r="G162" t="inlineStr">
        <is>
          <t>HÖÖR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45477</v>
      </c>
      <c r="E163" s="1" t="n">
        <v>46235</v>
      </c>
      <c r="F163" t="inlineStr">
        <is>
          <t>SKÅNE LÄN</t>
        </is>
      </c>
      <c r="G163" t="inlineStr">
        <is>
          <t>HÖÖR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45318</v>
      </c>
      <c r="E164" s="1" t="n">
        <v>46235</v>
      </c>
      <c r="F164" t="inlineStr">
        <is>
          <t>SKÅNE LÄN</t>
        </is>
      </c>
      <c r="G164" t="inlineStr">
        <is>
          <t>HÖÖR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46235</v>
      </c>
      <c r="F165" t="inlineStr">
        <is>
          <t>SKÅNE LÄN</t>
        </is>
      </c>
      <c r="G165" t="inlineStr">
        <is>
          <t>HÖÖR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46235</v>
      </c>
      <c r="F166" t="inlineStr">
        <is>
          <t>SKÅNE LÄN</t>
        </is>
      </c>
      <c r="G166" t="inlineStr">
        <is>
          <t>HÖÖR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10007-2022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44621</v>
      </c>
      <c r="E167" s="1" t="n">
        <v>46235</v>
      </c>
      <c r="F167" t="inlineStr">
        <is>
          <t>SKÅNE LÄN</t>
        </is>
      </c>
      <c r="G167" t="inlineStr">
        <is>
          <t>HÖÖR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46235</v>
      </c>
      <c r="F168" t="inlineStr">
        <is>
          <t>SKÅNE LÄN</t>
        </is>
      </c>
      <c r="G168" t="inlineStr">
        <is>
          <t>HÖÖR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46235</v>
      </c>
      <c r="F169" t="inlineStr">
        <is>
          <t>SKÅNE LÄN</t>
        </is>
      </c>
      <c r="G169" t="inlineStr">
        <is>
          <t>HÖÖR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46235</v>
      </c>
      <c r="F170" t="inlineStr">
        <is>
          <t>SKÅNE LÄN</t>
        </is>
      </c>
      <c r="G170" t="inlineStr">
        <is>
          <t>HÖÖR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46064</v>
      </c>
      <c r="E171" s="1" t="n">
        <v>46235</v>
      </c>
      <c r="F171" t="inlineStr">
        <is>
          <t>SKÅNE LÄN</t>
        </is>
      </c>
      <c r="G171" t="inlineStr">
        <is>
          <t>HÖÖR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44585</v>
      </c>
      <c r="E172" s="1" t="n">
        <v>46235</v>
      </c>
      <c r="F172" t="inlineStr">
        <is>
          <t>SKÅNE LÄN</t>
        </is>
      </c>
      <c r="G172" t="inlineStr">
        <is>
          <t>HÖÖR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45539</v>
      </c>
      <c r="E173" s="1" t="n">
        <v>46235</v>
      </c>
      <c r="F173" t="inlineStr">
        <is>
          <t>SKÅNE LÄN</t>
        </is>
      </c>
      <c r="G173" t="inlineStr">
        <is>
          <t>HÖÖR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46235</v>
      </c>
      <c r="F174" t="inlineStr">
        <is>
          <t>SKÅNE LÄN</t>
        </is>
      </c>
      <c r="G174" t="inlineStr">
        <is>
          <t>HÖÖR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46235</v>
      </c>
      <c r="F175" t="inlineStr">
        <is>
          <t>SKÅNE LÄN</t>
        </is>
      </c>
      <c r="G175" t="inlineStr">
        <is>
          <t>HÖÖR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46235</v>
      </c>
      <c r="F176" t="inlineStr">
        <is>
          <t>SKÅNE LÄN</t>
        </is>
      </c>
      <c r="G176" t="inlineStr">
        <is>
          <t>HÖÖR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46235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46235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46235</v>
      </c>
      <c r="F179" t="inlineStr">
        <is>
          <t>SKÅNE LÄN</t>
        </is>
      </c>
      <c r="G179" t="inlineStr">
        <is>
          <t>HÖÖR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45041</v>
      </c>
      <c r="E180" s="1" t="n">
        <v>46235</v>
      </c>
      <c r="F180" t="inlineStr">
        <is>
          <t>SKÅNE LÄN</t>
        </is>
      </c>
      <c r="G180" t="inlineStr">
        <is>
          <t>HÖÖR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46235</v>
      </c>
      <c r="F181" t="inlineStr">
        <is>
          <t>SKÅNE LÄN</t>
        </is>
      </c>
      <c r="G181" t="inlineStr">
        <is>
          <t>HÖÖR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26757-2023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46235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44594</v>
      </c>
      <c r="E183" s="1" t="n">
        <v>46235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46235</v>
      </c>
      <c r="F184" t="inlineStr">
        <is>
          <t>SKÅNE LÄN</t>
        </is>
      </c>
      <c r="G184" t="inlineStr">
        <is>
          <t>HÖÖR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46235</v>
      </c>
      <c r="F185" t="inlineStr">
        <is>
          <t>SKÅNE LÄN</t>
        </is>
      </c>
      <c r="G185" t="inlineStr">
        <is>
          <t>HÖÖR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46235</v>
      </c>
      <c r="F186" t="inlineStr">
        <is>
          <t>SKÅNE LÄN</t>
        </is>
      </c>
      <c r="G186" t="inlineStr">
        <is>
          <t>HÖÖR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46235</v>
      </c>
      <c r="F187" t="inlineStr">
        <is>
          <t>SKÅNE LÄN</t>
        </is>
      </c>
      <c r="G187" t="inlineStr">
        <is>
          <t>HÖÖR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46235</v>
      </c>
      <c r="F188" t="inlineStr">
        <is>
          <t>SKÅNE LÄN</t>
        </is>
      </c>
      <c r="G188" t="inlineStr">
        <is>
          <t>HÖÖR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46235</v>
      </c>
      <c r="F189" t="inlineStr">
        <is>
          <t>SKÅNE LÄN</t>
        </is>
      </c>
      <c r="G189" t="inlineStr">
        <is>
          <t>HÖÖR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45477</v>
      </c>
      <c r="E190" s="1" t="n">
        <v>46235</v>
      </c>
      <c r="F190" t="inlineStr">
        <is>
          <t>SKÅNE LÄN</t>
        </is>
      </c>
      <c r="G190" t="inlineStr">
        <is>
          <t>HÖÖR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46235</v>
      </c>
      <c r="F191" t="inlineStr">
        <is>
          <t>SKÅNE LÄN</t>
        </is>
      </c>
      <c r="G191" t="inlineStr">
        <is>
          <t>HÖÖR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46235</v>
      </c>
      <c r="F192" t="inlineStr">
        <is>
          <t>SKÅNE LÄN</t>
        </is>
      </c>
      <c r="G192" t="inlineStr">
        <is>
          <t>HÖÖR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46235</v>
      </c>
      <c r="F193" t="inlineStr">
        <is>
          <t>SKÅNE LÄN</t>
        </is>
      </c>
      <c r="G193" t="inlineStr">
        <is>
          <t>HÖÖR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46235</v>
      </c>
      <c r="F194" t="inlineStr">
        <is>
          <t>SKÅNE LÄN</t>
        </is>
      </c>
      <c r="G194" t="inlineStr">
        <is>
          <t>HÖÖR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17693-2026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46121</v>
      </c>
      <c r="E195" s="1" t="n">
        <v>46235</v>
      </c>
      <c r="F195" t="inlineStr">
        <is>
          <t>SKÅNE LÄN</t>
        </is>
      </c>
      <c r="G195" t="inlineStr">
        <is>
          <t>HÖÖR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46235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46235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46235</v>
      </c>
      <c r="F198" t="inlineStr">
        <is>
          <t>SKÅNE LÄN</t>
        </is>
      </c>
      <c r="G198" t="inlineStr">
        <is>
          <t>HÖÖR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73544-2021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44551</v>
      </c>
      <c r="E199" s="1" t="n">
        <v>46235</v>
      </c>
      <c r="F199" t="inlineStr">
        <is>
          <t>SKÅNE LÄN</t>
        </is>
      </c>
      <c r="G199" t="inlineStr">
        <is>
          <t>HÖÖR</t>
        </is>
      </c>
      <c r="H199" t="inlineStr">
        <is>
          <t>Övriga statliga verk och myndigheter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46235</v>
      </c>
      <c r="F200" t="inlineStr">
        <is>
          <t>SKÅNE LÄN</t>
        </is>
      </c>
      <c r="G200" t="inlineStr">
        <is>
          <t>HÖÖR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44741</v>
      </c>
      <c r="E201" s="1" t="n">
        <v>46235</v>
      </c>
      <c r="F201" t="inlineStr">
        <is>
          <t>SKÅNE LÄN</t>
        </is>
      </c>
      <c r="G201" t="inlineStr">
        <is>
          <t>HÖÖR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46235</v>
      </c>
      <c r="F202" t="inlineStr">
        <is>
          <t>SKÅNE LÄN</t>
        </is>
      </c>
      <c r="G202" t="inlineStr">
        <is>
          <t>HÖÖR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46235</v>
      </c>
      <c r="F203" t="inlineStr">
        <is>
          <t>SKÅNE LÄN</t>
        </is>
      </c>
      <c r="G203" t="inlineStr">
        <is>
          <t>HÖÖR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63139-2023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46235</v>
      </c>
      <c r="F204" t="inlineStr">
        <is>
          <t>SKÅNE LÄN</t>
        </is>
      </c>
      <c r="G204" t="inlineStr">
        <is>
          <t>HÖÖR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46235</v>
      </c>
      <c r="F205" t="inlineStr">
        <is>
          <t>SKÅNE LÄN</t>
        </is>
      </c>
      <c r="G205" t="inlineStr">
        <is>
          <t>HÖÖR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46235</v>
      </c>
      <c r="F206" t="inlineStr">
        <is>
          <t>SKÅNE LÄN</t>
        </is>
      </c>
      <c r="G206" t="inlineStr">
        <is>
          <t>HÖÖR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46235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45645</v>
      </c>
      <c r="E208" s="1" t="n">
        <v>46235</v>
      </c>
      <c r="F208" t="inlineStr">
        <is>
          <t>SKÅNE LÄN</t>
        </is>
      </c>
      <c r="G208" t="inlineStr">
        <is>
          <t>HÖÖR</t>
        </is>
      </c>
      <c r="H208" t="inlineStr">
        <is>
          <t>Kommuner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46235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46235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46235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46235</v>
      </c>
      <c r="F212" t="inlineStr">
        <is>
          <t>SKÅNE LÄN</t>
        </is>
      </c>
      <c r="G212" t="inlineStr">
        <is>
          <t>HÖÖR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46235</v>
      </c>
      <c r="F213" t="inlineStr">
        <is>
          <t>SKÅNE LÄN</t>
        </is>
      </c>
      <c r="G213" t="inlineStr">
        <is>
          <t>HÖÖR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46235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46235</v>
      </c>
      <c r="F215" t="inlineStr">
        <is>
          <t>SKÅNE LÄN</t>
        </is>
      </c>
      <c r="G215" t="inlineStr">
        <is>
          <t>HÖÖR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46235</v>
      </c>
      <c r="F216" t="inlineStr">
        <is>
          <t>SKÅNE LÄN</t>
        </is>
      </c>
      <c r="G216" t="inlineStr">
        <is>
          <t>HÖÖR</t>
        </is>
      </c>
      <c r="I216" t="n">
        <v>12.3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46235</v>
      </c>
      <c r="F217" t="inlineStr">
        <is>
          <t>SKÅNE LÄN</t>
        </is>
      </c>
      <c r="G217" t="inlineStr">
        <is>
          <t>HÖÖR</t>
        </is>
      </c>
      <c r="I217" t="n">
        <v>28.4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46235</v>
      </c>
      <c r="F218" t="inlineStr">
        <is>
          <t>SKÅNE LÄN</t>
        </is>
      </c>
      <c r="G218" t="inlineStr">
        <is>
          <t>HÖÖR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44911</v>
      </c>
      <c r="E219" s="1" t="n">
        <v>46235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61087-2022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44915</v>
      </c>
      <c r="E220" s="1" t="n">
        <v>46235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46235</v>
      </c>
      <c r="F221" t="inlineStr">
        <is>
          <t>SKÅNE LÄN</t>
        </is>
      </c>
      <c r="G221" t="inlineStr">
        <is>
          <t>HÖÖR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46235</v>
      </c>
      <c r="F222" t="inlineStr">
        <is>
          <t>SKÅNE LÄN</t>
        </is>
      </c>
      <c r="G222" t="inlineStr">
        <is>
          <t>HÖÖR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46235</v>
      </c>
      <c r="F223" t="inlineStr">
        <is>
          <t>SKÅNE LÄN</t>
        </is>
      </c>
      <c r="G223" t="inlineStr">
        <is>
          <t>HÖÖR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46235</v>
      </c>
      <c r="F224" t="inlineStr">
        <is>
          <t>SKÅNE LÄN</t>
        </is>
      </c>
      <c r="G224" t="inlineStr">
        <is>
          <t>HÖÖR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46235</v>
      </c>
      <c r="F225" t="inlineStr">
        <is>
          <t>SKÅNE LÄN</t>
        </is>
      </c>
      <c r="G225" t="inlineStr">
        <is>
          <t>HÖÖR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46235</v>
      </c>
      <c r="F226" t="inlineStr">
        <is>
          <t>SKÅNE LÄN</t>
        </is>
      </c>
      <c r="G226" t="inlineStr">
        <is>
          <t>HÖÖR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46235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46235</v>
      </c>
      <c r="F228" t="inlineStr">
        <is>
          <t>SKÅNE LÄN</t>
        </is>
      </c>
      <c r="G228" t="inlineStr">
        <is>
          <t>HÖÖR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46235</v>
      </c>
      <c r="F229" t="inlineStr">
        <is>
          <t>SKÅNE LÄN</t>
        </is>
      </c>
      <c r="G229" t="inlineStr">
        <is>
          <t>HÖÖR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46235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46235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46235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46235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46235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46235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46235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46235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46235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46235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46235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46235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46235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2026-08-01T01:48:39Z</dcterms:created>
  <dcterms:modified xmlns:dcterms="http://purl.org/dc/terms/" xmlns:xsi="http://www.w3.org/2001/XMLSchema-instance" xsi:type="dcterms:W3CDTF">2026-08-01T01:48:39Z</dcterms:modified>
</cp:coreProperties>
</file>