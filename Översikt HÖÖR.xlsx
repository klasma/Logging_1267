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46280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46280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46280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46280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46280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46280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46280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46280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46280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46280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46280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46280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46280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46280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46280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46280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46280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46280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46280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46280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46280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46280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46280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46280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46280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46280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27233-2022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44741</v>
      </c>
      <c r="E29" s="1" t="n">
        <v>46280</v>
      </c>
      <c r="F29" t="inlineStr">
        <is>
          <t>SKÅNE LÄN</t>
        </is>
      </c>
      <c r="G29" t="inlineStr">
        <is>
          <t>HÖÖR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HYPERLINK("https://klasma.github.io/Logging_1267/artfynd/A 27233-2022 artfynd.xlsx", "A 27233-2022")</f>
        <v/>
      </c>
      <c r="X29">
        <f>HYPERLINK("https://klasma.github.io/Logging_1267/kartor/A 27233-2022 karta.png", "A 27233-2022")</f>
        <v/>
      </c>
      <c r="Y29">
        <f>HYPERLINK("https://klasma.github.io/Logging_1267/kartor_geotiff/A 27233-2022 georefererad karta.tif", "A 27233-2022")</f>
        <v/>
      </c>
      <c r="AA29">
        <f>HYPERLINK("https://klasma.github.io/Logging_1267/klagomål/A 27233-2022 FSC-klagomål.docx", "A 27233-2022")</f>
        <v/>
      </c>
      <c r="AB29">
        <f>HYPERLINK("https://klasma.github.io/Logging_1267/klagomålsmail/A 27233-2022 FSC-klagomål mail.docx", "A 27233-2022")</f>
        <v/>
      </c>
      <c r="AC29">
        <f>HYPERLINK("https://klasma.github.io/Logging_1267/tillsyn/A 27233-2022 tillsynsbegäran.docx", "A 27233-2022")</f>
        <v/>
      </c>
      <c r="AD29">
        <f>HYPERLINK("https://klasma.github.io/Logging_1267/tillsynsmail/A 27233-2022 tillsynsbegäran mail.docx", "A 27233-2022")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46280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48926-2024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46280</v>
      </c>
      <c r="F31" t="inlineStr">
        <is>
          <t>SKÅNE LÄN</t>
        </is>
      </c>
      <c r="G31" t="inlineStr">
        <is>
          <t>HÖÖR</t>
        </is>
      </c>
      <c r="I31" t="n">
        <v>10.8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HYPERLINK("https://klasma.github.io/Logging_1267/artfynd/A 48926-2024 artfynd.xlsx", "A 48926-2024")</f>
        <v/>
      </c>
      <c r="X31">
        <f>HYPERLINK("https://klasma.github.io/Logging_1267/kartor/A 48926-2024 karta.png", "A 48926-2024")</f>
        <v/>
      </c>
      <c r="Y31">
        <f>HYPERLINK("https://klasma.github.io/Logging_1267/kartor_geotiff/A 48926-2024 georefererad karta.tif", "A 48926-2024")</f>
        <v/>
      </c>
      <c r="AA31">
        <f>HYPERLINK("https://klasma.github.io/Logging_1267/klagomål/A 48926-2024 FSC-klagomål.docx", "A 48926-2024")</f>
        <v/>
      </c>
      <c r="AB31">
        <f>HYPERLINK("https://klasma.github.io/Logging_1267/klagomålsmail/A 48926-2024 FSC-klagomål mail.docx", "A 48926-2024")</f>
        <v/>
      </c>
      <c r="AC31">
        <f>HYPERLINK("https://klasma.github.io/Logging_1267/tillsyn/A 48926-2024 tillsynsbegäran.docx", "A 48926-2024")</f>
        <v/>
      </c>
      <c r="AD31">
        <f>HYPERLINK("https://klasma.github.io/Logging_1267/tillsynsmail/A 48926-2024 tillsynsbegäran mail.docx", "A 48926-2024")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46280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46280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46280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46280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34500-2026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46255</v>
      </c>
      <c r="E36" s="1" t="n">
        <v>46280</v>
      </c>
      <c r="F36" t="inlineStr">
        <is>
          <t>SKÅNE LÄN</t>
        </is>
      </c>
      <c r="G36" t="inlineStr">
        <is>
          <t>HÖÖR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HYPERLINK("https://klasma.github.io/Logging_1267/artfynd/A 34500-2026 artfynd.xlsx", "A 34500-2026")</f>
        <v/>
      </c>
      <c r="X36">
        <f>HYPERLINK("https://klasma.github.io/Logging_1267/kartor/A 34500-2026 karta.png", "A 34500-2026")</f>
        <v/>
      </c>
      <c r="Y36">
        <f>HYPERLINK("https://klasma.github.io/Logging_1267/kartor_geotiff/A 34500-2026 georefererad karta.tif", "A 34500-2026")</f>
        <v/>
      </c>
      <c r="AA36">
        <f>HYPERLINK("https://klasma.github.io/Logging_1267/klagomål/A 34500-2026 FSC-klagomål.docx", "A 34500-2026")</f>
        <v/>
      </c>
      <c r="AB36">
        <f>HYPERLINK("https://klasma.github.io/Logging_1267/klagomålsmail/A 34500-2026 FSC-klagomål mail.docx", "A 34500-2026")</f>
        <v/>
      </c>
      <c r="AC36">
        <f>HYPERLINK("https://klasma.github.io/Logging_1267/tillsyn/A 34500-2026 tillsynsbegäran.docx", "A 34500-2026")</f>
        <v/>
      </c>
      <c r="AD36">
        <f>HYPERLINK("https://klasma.github.io/Logging_1267/tillsynsmail/A 34500-2026 tillsynsbegäran mail.docx", "A 34500-2026")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46280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46280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46280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46280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46280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46280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46280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46280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46280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46280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46280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46280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46280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46280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46280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46280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46280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46280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46280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46280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46280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46280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45159</v>
      </c>
      <c r="E61" s="1" t="n">
        <v>46280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46280</v>
      </c>
      <c r="F62" t="inlineStr">
        <is>
          <t>SKÅNE LÄN</t>
        </is>
      </c>
      <c r="G62" t="inlineStr">
        <is>
          <t>HÖÖR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46280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45471</v>
      </c>
      <c r="E64" s="1" t="n">
        <v>46280</v>
      </c>
      <c r="F64" t="inlineStr">
        <is>
          <t>SKÅNE LÄN</t>
        </is>
      </c>
      <c r="G64" t="inlineStr">
        <is>
          <t>HÖÖR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46280</v>
      </c>
      <c r="F65" t="inlineStr">
        <is>
          <t>SKÅNE LÄN</t>
        </is>
      </c>
      <c r="G65" t="inlineStr">
        <is>
          <t>HÖÖR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46280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46280</v>
      </c>
      <c r="F67" t="inlineStr">
        <is>
          <t>SKÅNE LÄN</t>
        </is>
      </c>
      <c r="G67" t="inlineStr">
        <is>
          <t>HÖÖR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46280</v>
      </c>
      <c r="F68" t="inlineStr">
        <is>
          <t>SKÅNE LÄN</t>
        </is>
      </c>
      <c r="G68" t="inlineStr">
        <is>
          <t>HÖÖR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46280</v>
      </c>
      <c r="F69" t="inlineStr">
        <is>
          <t>SKÅNE LÄN</t>
        </is>
      </c>
      <c r="G69" t="inlineStr">
        <is>
          <t>HÖÖR</t>
        </is>
      </c>
      <c r="I69" t="n">
        <v>28.4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46280</v>
      </c>
      <c r="F70" t="inlineStr">
        <is>
          <t>SKÅNE LÄN</t>
        </is>
      </c>
      <c r="G70" t="inlineStr">
        <is>
          <t>HÖÖR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46280</v>
      </c>
      <c r="F71" t="inlineStr">
        <is>
          <t>SKÅNE LÄN</t>
        </is>
      </c>
      <c r="G71" t="inlineStr">
        <is>
          <t>HÖÖR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46280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60425-2022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44911</v>
      </c>
      <c r="E73" s="1" t="n">
        <v>46280</v>
      </c>
      <c r="F73" t="inlineStr">
        <is>
          <t>SKÅNE LÄN</t>
        </is>
      </c>
      <c r="G73" t="inlineStr">
        <is>
          <t>HÖÖR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44915</v>
      </c>
      <c r="E74" s="1" t="n">
        <v>46280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46280</v>
      </c>
      <c r="F75" t="inlineStr">
        <is>
          <t>SKÅNE LÄN</t>
        </is>
      </c>
      <c r="G75" t="inlineStr">
        <is>
          <t>HÖÖR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45770</v>
      </c>
      <c r="E76" s="1" t="n">
        <v>46280</v>
      </c>
      <c r="F76" t="inlineStr">
        <is>
          <t>SKÅNE LÄN</t>
        </is>
      </c>
      <c r="G76" t="inlineStr">
        <is>
          <t>HÖÖR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45945</v>
      </c>
      <c r="E77" s="1" t="n">
        <v>46280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46280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56941-2025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45978</v>
      </c>
      <c r="E79" s="1" t="n">
        <v>46280</v>
      </c>
      <c r="F79" t="inlineStr">
        <is>
          <t>SKÅNE LÄN</t>
        </is>
      </c>
      <c r="G79" t="inlineStr">
        <is>
          <t>HÖÖR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46023</v>
      </c>
      <c r="E80" s="1" t="n">
        <v>46280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46023</v>
      </c>
      <c r="E81" s="1" t="n">
        <v>46280</v>
      </c>
      <c r="F81" t="inlineStr">
        <is>
          <t>SKÅNE LÄN</t>
        </is>
      </c>
      <c r="G81" t="inlineStr">
        <is>
          <t>HÖÖR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46280</v>
      </c>
      <c r="F82" t="inlineStr">
        <is>
          <t>SKÅNE LÄN</t>
        </is>
      </c>
      <c r="G82" t="inlineStr">
        <is>
          <t>HÖÖR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45001</v>
      </c>
      <c r="E83" s="1" t="n">
        <v>46280</v>
      </c>
      <c r="F83" t="inlineStr">
        <is>
          <t>SKÅNE LÄN</t>
        </is>
      </c>
      <c r="G83" t="inlineStr">
        <is>
          <t>HÖÖR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46280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46280</v>
      </c>
      <c r="F85" t="inlineStr">
        <is>
          <t>SKÅNE LÄN</t>
        </is>
      </c>
      <c r="G85" t="inlineStr">
        <is>
          <t>HÖÖR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46280</v>
      </c>
      <c r="F86" t="inlineStr">
        <is>
          <t>SKÅNE LÄN</t>
        </is>
      </c>
      <c r="G86" t="inlineStr">
        <is>
          <t>HÖÖR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46280</v>
      </c>
      <c r="F87" t="inlineStr">
        <is>
          <t>SKÅNE LÄN</t>
        </is>
      </c>
      <c r="G87" t="inlineStr">
        <is>
          <t>HÖÖR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46280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46280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46280</v>
      </c>
      <c r="F90" t="inlineStr">
        <is>
          <t>SKÅNE LÄN</t>
        </is>
      </c>
      <c r="G90" t="inlineStr">
        <is>
          <t>HÖÖR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46280</v>
      </c>
      <c r="F91" t="inlineStr">
        <is>
          <t>SKÅNE LÄN</t>
        </is>
      </c>
      <c r="G91" t="inlineStr">
        <is>
          <t>HÖÖR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46280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46280</v>
      </c>
      <c r="F93" t="inlineStr">
        <is>
          <t>SKÅNE LÄN</t>
        </is>
      </c>
      <c r="G93" t="inlineStr">
        <is>
          <t>HÖÖR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46280</v>
      </c>
      <c r="F94" t="inlineStr">
        <is>
          <t>SKÅNE LÄN</t>
        </is>
      </c>
      <c r="G94" t="inlineStr">
        <is>
          <t>HÖÖR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45037</v>
      </c>
      <c r="E95" s="1" t="n">
        <v>46280</v>
      </c>
      <c r="F95" t="inlineStr">
        <is>
          <t>SKÅNE LÄN</t>
        </is>
      </c>
      <c r="G95" t="inlineStr">
        <is>
          <t>HÖÖR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8290-2026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46064</v>
      </c>
      <c r="E96" s="1" t="n">
        <v>46280</v>
      </c>
      <c r="F96" t="inlineStr">
        <is>
          <t>SKÅNE LÄN</t>
        </is>
      </c>
      <c r="G96" t="inlineStr">
        <is>
          <t>HÖÖR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45807</v>
      </c>
      <c r="E97" s="1" t="n">
        <v>46280</v>
      </c>
      <c r="F97" t="inlineStr">
        <is>
          <t>SKÅNE LÄN</t>
        </is>
      </c>
      <c r="G97" t="inlineStr">
        <is>
          <t>HÖÖR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46280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46280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44672</v>
      </c>
      <c r="E100" s="1" t="n">
        <v>46280</v>
      </c>
      <c r="F100" t="inlineStr">
        <is>
          <t>SKÅNE LÄN</t>
        </is>
      </c>
      <c r="G100" t="inlineStr">
        <is>
          <t>HÖÖR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45190</v>
      </c>
      <c r="E101" s="1" t="n">
        <v>46280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45323</v>
      </c>
      <c r="E102" s="1" t="n">
        <v>46280</v>
      </c>
      <c r="F102" t="inlineStr">
        <is>
          <t>SKÅNE LÄN</t>
        </is>
      </c>
      <c r="G102" t="inlineStr">
        <is>
          <t>HÖÖR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46280</v>
      </c>
      <c r="F103" t="inlineStr">
        <is>
          <t>SKÅNE LÄN</t>
        </is>
      </c>
      <c r="G103" t="inlineStr">
        <is>
          <t>HÖÖR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46280</v>
      </c>
      <c r="F104" t="inlineStr">
        <is>
          <t>SKÅNE LÄN</t>
        </is>
      </c>
      <c r="G104" t="inlineStr">
        <is>
          <t>HÖÖR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46280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45987</v>
      </c>
      <c r="E106" s="1" t="n">
        <v>46280</v>
      </c>
      <c r="F106" t="inlineStr">
        <is>
          <t>SKÅNE LÄN</t>
        </is>
      </c>
      <c r="G106" t="inlineStr">
        <is>
          <t>HÖÖR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46280</v>
      </c>
      <c r="F107" t="inlineStr">
        <is>
          <t>SKÅNE LÄN</t>
        </is>
      </c>
      <c r="G107" t="inlineStr">
        <is>
          <t>HÖÖR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13437-2023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46280</v>
      </c>
      <c r="F108" t="inlineStr">
        <is>
          <t>SKÅNE LÄN</t>
        </is>
      </c>
      <c r="G108" t="inlineStr">
        <is>
          <t>HÖÖR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46280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46280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46280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46280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46280</v>
      </c>
      <c r="F113" t="inlineStr">
        <is>
          <t>SKÅNE LÄN</t>
        </is>
      </c>
      <c r="G113" t="inlineStr">
        <is>
          <t>HÖÖR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46280</v>
      </c>
      <c r="F114" t="inlineStr">
        <is>
          <t>SKÅNE LÄN</t>
        </is>
      </c>
      <c r="G114" t="inlineStr">
        <is>
          <t>HÖÖR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46280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46280</v>
      </c>
      <c r="F116" t="inlineStr">
        <is>
          <t>SKÅNE LÄN</t>
        </is>
      </c>
      <c r="G116" t="inlineStr">
        <is>
          <t>HÖÖR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17693-2026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46121</v>
      </c>
      <c r="E117" s="1" t="n">
        <v>46280</v>
      </c>
      <c r="F117" t="inlineStr">
        <is>
          <t>SKÅNE LÄN</t>
        </is>
      </c>
      <c r="G117" t="inlineStr">
        <is>
          <t>HÖÖR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46280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45061</v>
      </c>
      <c r="E119" s="1" t="n">
        <v>46280</v>
      </c>
      <c r="F119" t="inlineStr">
        <is>
          <t>SKÅNE LÄN</t>
        </is>
      </c>
      <c r="G119" t="inlineStr">
        <is>
          <t>HÖÖR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46280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45477</v>
      </c>
      <c r="E121" s="1" t="n">
        <v>46280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46280</v>
      </c>
      <c r="F122" t="inlineStr">
        <is>
          <t>SKÅNE LÄN</t>
        </is>
      </c>
      <c r="G122" t="inlineStr">
        <is>
          <t>HÖÖR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46280</v>
      </c>
      <c r="F123" t="inlineStr">
        <is>
          <t>SKÅNE LÄN</t>
        </is>
      </c>
      <c r="G123" t="inlineStr">
        <is>
          <t>HÖÖR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46280</v>
      </c>
      <c r="F124" t="inlineStr">
        <is>
          <t>SKÅNE LÄN</t>
        </is>
      </c>
      <c r="G124" t="inlineStr">
        <is>
          <t>HÖÖR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46280</v>
      </c>
      <c r="F125" t="inlineStr">
        <is>
          <t>SKÅNE LÄN</t>
        </is>
      </c>
      <c r="G125" t="inlineStr">
        <is>
          <t>HÖÖR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46280</v>
      </c>
      <c r="F126" t="inlineStr">
        <is>
          <t>SKÅNE LÄN</t>
        </is>
      </c>
      <c r="G126" t="inlineStr">
        <is>
          <t>HÖÖR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46280</v>
      </c>
      <c r="F127" t="inlineStr">
        <is>
          <t>SKÅNE LÄN</t>
        </is>
      </c>
      <c r="G127" t="inlineStr">
        <is>
          <t>HÖÖR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46280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46280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46280</v>
      </c>
      <c r="F130" t="inlineStr">
        <is>
          <t>SKÅNE LÄN</t>
        </is>
      </c>
      <c r="G130" t="inlineStr">
        <is>
          <t>HÖÖR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45318</v>
      </c>
      <c r="E131" s="1" t="n">
        <v>46280</v>
      </c>
      <c r="F131" t="inlineStr">
        <is>
          <t>SKÅNE LÄN</t>
        </is>
      </c>
      <c r="G131" t="inlineStr">
        <is>
          <t>HÖÖR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46280</v>
      </c>
      <c r="F132" t="inlineStr">
        <is>
          <t>SKÅNE LÄN</t>
        </is>
      </c>
      <c r="G132" t="inlineStr">
        <is>
          <t>HÖÖR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46280</v>
      </c>
      <c r="F133" t="inlineStr">
        <is>
          <t>SKÅNE LÄN</t>
        </is>
      </c>
      <c r="G133" t="inlineStr">
        <is>
          <t>HÖÖR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46280</v>
      </c>
      <c r="F134" t="inlineStr">
        <is>
          <t>SKÅNE LÄN</t>
        </is>
      </c>
      <c r="G134" t="inlineStr">
        <is>
          <t>HÖÖR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46280</v>
      </c>
      <c r="F135" t="inlineStr">
        <is>
          <t>SKÅNE LÄN</t>
        </is>
      </c>
      <c r="G135" t="inlineStr">
        <is>
          <t>HÖÖR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45057</v>
      </c>
      <c r="E136" s="1" t="n">
        <v>46280</v>
      </c>
      <c r="F136" t="inlineStr">
        <is>
          <t>SKÅNE LÄN</t>
        </is>
      </c>
      <c r="G136" t="inlineStr">
        <is>
          <t>HÖÖR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44838</v>
      </c>
      <c r="E137" s="1" t="n">
        <v>46280</v>
      </c>
      <c r="F137" t="inlineStr">
        <is>
          <t>SKÅNE LÄN</t>
        </is>
      </c>
      <c r="G137" t="inlineStr">
        <is>
          <t>HÖÖR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47222-2022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44852</v>
      </c>
      <c r="E138" s="1" t="n">
        <v>46280</v>
      </c>
      <c r="F138" t="inlineStr">
        <is>
          <t>SKÅNE LÄN</t>
        </is>
      </c>
      <c r="G138" t="inlineStr">
        <is>
          <t>HÖÖR</t>
        </is>
      </c>
      <c r="I138" t="n">
        <v>12.3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44593</v>
      </c>
      <c r="E139" s="1" t="n">
        <v>46280</v>
      </c>
      <c r="F139" t="inlineStr">
        <is>
          <t>SKÅNE LÄN</t>
        </is>
      </c>
      <c r="G139" t="inlineStr">
        <is>
          <t>HÖÖR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46280</v>
      </c>
      <c r="F140" t="inlineStr">
        <is>
          <t>SKÅNE LÄN</t>
        </is>
      </c>
      <c r="G140" t="inlineStr">
        <is>
          <t>HÖÖR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46280</v>
      </c>
      <c r="F141" t="inlineStr">
        <is>
          <t>SKÅNE LÄN</t>
        </is>
      </c>
      <c r="G141" t="inlineStr">
        <is>
          <t>HÖÖR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46280</v>
      </c>
      <c r="F142" t="inlineStr">
        <is>
          <t>SKÅNE LÄN</t>
        </is>
      </c>
      <c r="G142" t="inlineStr">
        <is>
          <t>HÖÖR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45618</v>
      </c>
      <c r="E143" s="1" t="n">
        <v>46280</v>
      </c>
      <c r="F143" t="inlineStr">
        <is>
          <t>SKÅNE LÄN</t>
        </is>
      </c>
      <c r="G143" t="inlineStr">
        <is>
          <t>HÖÖR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46280</v>
      </c>
      <c r="F144" t="inlineStr">
        <is>
          <t>SKÅNE LÄN</t>
        </is>
      </c>
      <c r="G144" t="inlineStr">
        <is>
          <t>HÖÖR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46280</v>
      </c>
      <c r="F145" t="inlineStr">
        <is>
          <t>SKÅNE LÄN</t>
        </is>
      </c>
      <c r="G145" t="inlineStr">
        <is>
          <t>HÖÖR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46280</v>
      </c>
      <c r="F146" t="inlineStr">
        <is>
          <t>SKÅNE LÄN</t>
        </is>
      </c>
      <c r="G146" t="inlineStr">
        <is>
          <t>HÖÖR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46280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45575</v>
      </c>
      <c r="E148" s="1" t="n">
        <v>46280</v>
      </c>
      <c r="F148" t="inlineStr">
        <is>
          <t>SKÅNE LÄN</t>
        </is>
      </c>
      <c r="G148" t="inlineStr">
        <is>
          <t>HÖÖR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46280</v>
      </c>
      <c r="F149" t="inlineStr">
        <is>
          <t>SKÅNE LÄN</t>
        </is>
      </c>
      <c r="G149" t="inlineStr">
        <is>
          <t>HÖÖR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46280</v>
      </c>
      <c r="F150" t="inlineStr">
        <is>
          <t>SKÅNE LÄN</t>
        </is>
      </c>
      <c r="G150" t="inlineStr">
        <is>
          <t>HÖÖR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46280</v>
      </c>
      <c r="F151" t="inlineStr">
        <is>
          <t>SKÅNE LÄN</t>
        </is>
      </c>
      <c r="G151" t="inlineStr">
        <is>
          <t>HÖÖR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46280</v>
      </c>
      <c r="F152" t="inlineStr">
        <is>
          <t>SKÅNE LÄN</t>
        </is>
      </c>
      <c r="G152" t="inlineStr">
        <is>
          <t>HÖÖR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34495-2026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46280</v>
      </c>
      <c r="F153" t="inlineStr">
        <is>
          <t>SKÅNE LÄN</t>
        </is>
      </c>
      <c r="G153" t="inlineStr">
        <is>
          <t>HÖÖR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46255</v>
      </c>
      <c r="E154" s="1" t="n">
        <v>46280</v>
      </c>
      <c r="F154" t="inlineStr">
        <is>
          <t>SKÅNE LÄN</t>
        </is>
      </c>
      <c r="G154" t="inlineStr">
        <is>
          <t>HÖÖR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46280</v>
      </c>
      <c r="F155" t="inlineStr">
        <is>
          <t>SKÅNE LÄN</t>
        </is>
      </c>
      <c r="G155" t="inlineStr">
        <is>
          <t>HÖÖR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46280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46258</v>
      </c>
      <c r="E157" s="1" t="n">
        <v>46280</v>
      </c>
      <c r="F157" t="inlineStr">
        <is>
          <t>SKÅNE LÄN</t>
        </is>
      </c>
      <c r="G157" t="inlineStr">
        <is>
          <t>HÖÖR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46280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46280</v>
      </c>
      <c r="F159" t="inlineStr">
        <is>
          <t>SKÅNE LÄN</t>
        </is>
      </c>
      <c r="G159" t="inlineStr">
        <is>
          <t>HÖÖR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46280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46280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46265</v>
      </c>
      <c r="E162" s="1" t="n">
        <v>46280</v>
      </c>
      <c r="F162" t="inlineStr">
        <is>
          <t>SKÅNE LÄN</t>
        </is>
      </c>
      <c r="G162" t="inlineStr">
        <is>
          <t>HÖÖR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46280</v>
      </c>
      <c r="F163" t="inlineStr">
        <is>
          <t>SKÅNE LÄN</t>
        </is>
      </c>
      <c r="G163" t="inlineStr">
        <is>
          <t>HÖÖR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46251</v>
      </c>
      <c r="E164" s="1" t="n">
        <v>46280</v>
      </c>
      <c r="F164" t="inlineStr">
        <is>
          <t>SKÅNE LÄN</t>
        </is>
      </c>
      <c r="G164" t="inlineStr">
        <is>
          <t>HÖÖR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36392-2026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46268</v>
      </c>
      <c r="E165" s="1" t="n">
        <v>46280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46280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46280</v>
      </c>
      <c r="F167" t="inlineStr">
        <is>
          <t>SKÅNE LÄN</t>
        </is>
      </c>
      <c r="G167" t="inlineStr">
        <is>
          <t>HÖÖR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26033-2022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46280</v>
      </c>
      <c r="F168" t="inlineStr">
        <is>
          <t>SKÅNE LÄN</t>
        </is>
      </c>
      <c r="G168" t="inlineStr">
        <is>
          <t>HÖÖR</t>
        </is>
      </c>
      <c r="H168" t="inlineStr">
        <is>
          <t>Övriga statliga verk och myndigheter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46280</v>
      </c>
      <c r="F169" t="inlineStr">
        <is>
          <t>SKÅNE LÄN</t>
        </is>
      </c>
      <c r="G169" t="inlineStr">
        <is>
          <t>HÖÖR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46273</v>
      </c>
      <c r="E170" s="1" t="n">
        <v>46280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46280</v>
      </c>
      <c r="F171" t="inlineStr">
        <is>
          <t>SKÅNE LÄN</t>
        </is>
      </c>
      <c r="G171" t="inlineStr">
        <is>
          <t>HÖÖR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46196</v>
      </c>
      <c r="E172" s="1" t="n">
        <v>46280</v>
      </c>
      <c r="F172" t="inlineStr">
        <is>
          <t>SKÅNE LÄN</t>
        </is>
      </c>
      <c r="G172" t="inlineStr">
        <is>
          <t>HÖÖR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46280</v>
      </c>
      <c r="F173" t="inlineStr">
        <is>
          <t>SKÅNE LÄN</t>
        </is>
      </c>
      <c r="G173" t="inlineStr">
        <is>
          <t>HÖÖR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7306-2023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44970</v>
      </c>
      <c r="E174" s="1" t="n">
        <v>46280</v>
      </c>
      <c r="F174" t="inlineStr">
        <is>
          <t>SKÅNE LÄN</t>
        </is>
      </c>
      <c r="G174" t="inlineStr">
        <is>
          <t>HÖÖR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44685</v>
      </c>
      <c r="E175" s="1" t="n">
        <v>46280</v>
      </c>
      <c r="F175" t="inlineStr">
        <is>
          <t>SKÅNE LÄN</t>
        </is>
      </c>
      <c r="G175" t="inlineStr">
        <is>
          <t>HÖÖR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45534</v>
      </c>
      <c r="E176" s="1" t="n">
        <v>46280</v>
      </c>
      <c r="F176" t="inlineStr">
        <is>
          <t>SKÅNE LÄN</t>
        </is>
      </c>
      <c r="G176" t="inlineStr">
        <is>
          <t>HÖÖR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46280</v>
      </c>
      <c r="F177" t="inlineStr">
        <is>
          <t>SKÅNE LÄN</t>
        </is>
      </c>
      <c r="G177" t="inlineStr">
        <is>
          <t>HÖÖR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46280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46279</v>
      </c>
      <c r="E179" s="1" t="n">
        <v>46280</v>
      </c>
      <c r="F179" t="inlineStr">
        <is>
          <t>SKÅNE LÄN</t>
        </is>
      </c>
      <c r="G179" t="inlineStr">
        <is>
          <t>HÖÖR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46280</v>
      </c>
      <c r="F180" t="inlineStr">
        <is>
          <t>SKÅNE LÄN</t>
        </is>
      </c>
      <c r="G180" t="inlineStr">
        <is>
          <t>HÖÖR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46280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65200-2021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44515</v>
      </c>
      <c r="E182" s="1" t="n">
        <v>46280</v>
      </c>
      <c r="F182" t="inlineStr">
        <is>
          <t>SKÅNE LÄN</t>
        </is>
      </c>
      <c r="G182" t="inlineStr">
        <is>
          <t>HÖÖR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46280</v>
      </c>
      <c r="F183" t="inlineStr">
        <is>
          <t>SKÅNE LÄN</t>
        </is>
      </c>
      <c r="G183" t="inlineStr">
        <is>
          <t>HÖÖR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44734</v>
      </c>
      <c r="E184" s="1" t="n">
        <v>46280</v>
      </c>
      <c r="F184" t="inlineStr">
        <is>
          <t>SKÅNE LÄN</t>
        </is>
      </c>
      <c r="G184" t="inlineStr">
        <is>
          <t>HÖÖR</t>
        </is>
      </c>
      <c r="H184" t="inlineStr">
        <is>
          <t>Övriga statliga verk och myndigheter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46280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46280</v>
      </c>
      <c r="F186" t="inlineStr">
        <is>
          <t>SKÅNE LÄN</t>
        </is>
      </c>
      <c r="G186" t="inlineStr">
        <is>
          <t>HÖÖR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44672</v>
      </c>
      <c r="E187" s="1" t="n">
        <v>46280</v>
      </c>
      <c r="F187" t="inlineStr">
        <is>
          <t>SKÅNE LÄN</t>
        </is>
      </c>
      <c r="G187" t="inlineStr">
        <is>
          <t>HÖÖR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46280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46280</v>
      </c>
      <c r="F189" t="inlineStr">
        <is>
          <t>SKÅNE LÄN</t>
        </is>
      </c>
      <c r="G189" t="inlineStr">
        <is>
          <t>HÖÖR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46280</v>
      </c>
      <c r="F190" t="inlineStr">
        <is>
          <t>SKÅNE LÄN</t>
        </is>
      </c>
      <c r="G190" t="inlineStr">
        <is>
          <t>HÖÖR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45398</v>
      </c>
      <c r="E191" s="1" t="n">
        <v>46280</v>
      </c>
      <c r="F191" t="inlineStr">
        <is>
          <t>SKÅNE LÄN</t>
        </is>
      </c>
      <c r="G191" t="inlineStr">
        <is>
          <t>HÖÖR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46280</v>
      </c>
      <c r="F192" t="inlineStr">
        <is>
          <t>SKÅNE LÄN</t>
        </is>
      </c>
      <c r="G192" t="inlineStr">
        <is>
          <t>HÖÖR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46280</v>
      </c>
      <c r="F193" t="inlineStr">
        <is>
          <t>SKÅNE LÄN</t>
        </is>
      </c>
      <c r="G193" t="inlineStr">
        <is>
          <t>HÖÖR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46280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46280</v>
      </c>
      <c r="F195" t="inlineStr">
        <is>
          <t>SKÅNE LÄN</t>
        </is>
      </c>
      <c r="G195" t="inlineStr">
        <is>
          <t>HÖÖR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46280</v>
      </c>
      <c r="F196" t="inlineStr">
        <is>
          <t>SKÅNE LÄN</t>
        </is>
      </c>
      <c r="G196" t="inlineStr">
        <is>
          <t>HÖÖR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45755</v>
      </c>
      <c r="E197" s="1" t="n">
        <v>46280</v>
      </c>
      <c r="F197" t="inlineStr">
        <is>
          <t>SKÅNE LÄN</t>
        </is>
      </c>
      <c r="G197" t="inlineStr">
        <is>
          <t>HÖÖR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46280</v>
      </c>
      <c r="F198" t="inlineStr">
        <is>
          <t>SKÅNE LÄN</t>
        </is>
      </c>
      <c r="G198" t="inlineStr">
        <is>
          <t>HÖÖR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44838</v>
      </c>
      <c r="E199" s="1" t="n">
        <v>46280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46280</v>
      </c>
      <c r="F200" t="inlineStr">
        <is>
          <t>SKÅNE LÄN</t>
        </is>
      </c>
      <c r="G200" t="inlineStr">
        <is>
          <t>HÖÖR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46280</v>
      </c>
      <c r="F201" t="inlineStr">
        <is>
          <t>SKÅNE LÄN</t>
        </is>
      </c>
      <c r="G201" t="inlineStr">
        <is>
          <t>HÖÖR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50196-2022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44860</v>
      </c>
      <c r="E202" s="1" t="n">
        <v>46280</v>
      </c>
      <c r="F202" t="inlineStr">
        <is>
          <t>SKÅNE LÄN</t>
        </is>
      </c>
      <c r="G202" t="inlineStr">
        <is>
          <t>HÖÖR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45113</v>
      </c>
      <c r="E203" s="1" t="n">
        <v>46280</v>
      </c>
      <c r="F203" t="inlineStr">
        <is>
          <t>SKÅNE LÄN</t>
        </is>
      </c>
      <c r="G203" t="inlineStr">
        <is>
          <t>HÖÖR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46280</v>
      </c>
      <c r="F204" t="inlineStr">
        <is>
          <t>SKÅNE LÄN</t>
        </is>
      </c>
      <c r="G204" t="inlineStr">
        <is>
          <t>HÖÖR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46280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46280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46280</v>
      </c>
      <c r="F207" t="inlineStr">
        <is>
          <t>SKÅNE LÄN</t>
        </is>
      </c>
      <c r="G207" t="inlineStr">
        <is>
          <t>HÖÖR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45526</v>
      </c>
      <c r="E208" s="1" t="n">
        <v>46280</v>
      </c>
      <c r="F208" t="inlineStr">
        <is>
          <t>SKÅNE LÄN</t>
        </is>
      </c>
      <c r="G208" t="inlineStr">
        <is>
          <t>HÖÖR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45001</v>
      </c>
      <c r="E209" s="1" t="n">
        <v>46280</v>
      </c>
      <c r="F209" t="inlineStr">
        <is>
          <t>SKÅNE LÄN</t>
        </is>
      </c>
      <c r="G209" t="inlineStr">
        <is>
          <t>HÖÖR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46280</v>
      </c>
      <c r="F210" t="inlineStr">
        <is>
          <t>SKÅNE LÄN</t>
        </is>
      </c>
      <c r="G210" t="inlineStr">
        <is>
          <t>HÖÖR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19633-2023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45051</v>
      </c>
      <c r="E211" s="1" t="n">
        <v>46280</v>
      </c>
      <c r="F211" t="inlineStr">
        <is>
          <t>SKÅNE LÄN</t>
        </is>
      </c>
      <c r="G211" t="inlineStr">
        <is>
          <t>HÖÖR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46280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46280</v>
      </c>
      <c r="F213" t="inlineStr">
        <is>
          <t>SKÅNE LÄN</t>
        </is>
      </c>
      <c r="G213" t="inlineStr">
        <is>
          <t>HÖÖR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46280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46280</v>
      </c>
      <c r="F215" t="inlineStr">
        <is>
          <t>SKÅNE LÄN</t>
        </is>
      </c>
      <c r="G215" t="inlineStr">
        <is>
          <t>HÖÖR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46280</v>
      </c>
      <c r="F216" t="inlineStr">
        <is>
          <t>SKÅNE LÄN</t>
        </is>
      </c>
      <c r="G216" t="inlineStr">
        <is>
          <t>HÖÖR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56231-2022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44890</v>
      </c>
      <c r="E217" s="1" t="n">
        <v>46280</v>
      </c>
      <c r="F217" t="inlineStr">
        <is>
          <t>SKÅNE LÄN</t>
        </is>
      </c>
      <c r="G217" t="inlineStr">
        <is>
          <t>HÖÖR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46280</v>
      </c>
      <c r="F218" t="inlineStr">
        <is>
          <t>SKÅNE LÄN</t>
        </is>
      </c>
      <c r="G218" t="inlineStr">
        <is>
          <t>HÖÖR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46280</v>
      </c>
      <c r="F219" t="inlineStr">
        <is>
          <t>SKÅNE LÄN</t>
        </is>
      </c>
      <c r="G219" t="inlineStr">
        <is>
          <t>HÖÖR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46280</v>
      </c>
      <c r="F220" t="inlineStr">
        <is>
          <t>SKÅNE LÄN</t>
        </is>
      </c>
      <c r="G220" t="inlineStr">
        <is>
          <t>HÖÖR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46280</v>
      </c>
      <c r="F221" t="inlineStr">
        <is>
          <t>SKÅNE LÄN</t>
        </is>
      </c>
      <c r="G221" t="inlineStr">
        <is>
          <t>HÖÖR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45236</v>
      </c>
      <c r="E222" s="1" t="n">
        <v>46280</v>
      </c>
      <c r="F222" t="inlineStr">
        <is>
          <t>SKÅNE LÄN</t>
        </is>
      </c>
      <c r="G222" t="inlineStr">
        <is>
          <t>HÖÖR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46280</v>
      </c>
      <c r="F223" t="inlineStr">
        <is>
          <t>SKÅNE LÄN</t>
        </is>
      </c>
      <c r="G223" t="inlineStr">
        <is>
          <t>HÖÖR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73544-2021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46280</v>
      </c>
      <c r="F224" t="inlineStr">
        <is>
          <t>SKÅNE LÄN</t>
        </is>
      </c>
      <c r="G224" t="inlineStr">
        <is>
          <t>HÖÖR</t>
        </is>
      </c>
      <c r="H224" t="inlineStr">
        <is>
          <t>Övriga statliga verk och myndigheter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46280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46280</v>
      </c>
      <c r="F226" t="inlineStr">
        <is>
          <t>SKÅNE LÄN</t>
        </is>
      </c>
      <c r="G226" t="inlineStr">
        <is>
          <t>HÖÖR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46280</v>
      </c>
      <c r="F227" t="inlineStr">
        <is>
          <t>SKÅNE LÄN</t>
        </is>
      </c>
      <c r="G227" t="inlineStr">
        <is>
          <t>HÖÖR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46280</v>
      </c>
      <c r="F228" t="inlineStr">
        <is>
          <t>SKÅNE LÄN</t>
        </is>
      </c>
      <c r="G228" t="inlineStr">
        <is>
          <t>HÖÖR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61019-2024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45645</v>
      </c>
      <c r="E229" s="1" t="n">
        <v>46280</v>
      </c>
      <c r="F229" t="inlineStr">
        <is>
          <t>SKÅNE LÄN</t>
        </is>
      </c>
      <c r="G229" t="inlineStr">
        <is>
          <t>HÖÖR</t>
        </is>
      </c>
      <c r="H229" t="inlineStr">
        <is>
          <t>Kommuner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46280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46280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46280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46280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46280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46280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46280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46280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46280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46280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46280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46280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46280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2026-09-15T08:14:13Z</dcterms:created>
  <dcterms:modified xmlns:dcterms="http://purl.org/dc/terms/" xmlns:xsi="http://www.w3.org/2001/XMLSchema-instance" xsi:type="dcterms:W3CDTF">2026-09-15T08:14:13Z</dcterms:modified>
</cp:coreProperties>
</file>